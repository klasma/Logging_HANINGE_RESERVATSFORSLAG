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23"/>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ht="15" customHeight="1">
      <c r="A2" t="inlineStr">
        <is>
          <t>Högstaskogens naturreservat</t>
        </is>
      </c>
      <c r="B2" t="inlineStr">
        <is>
          <t>avverkningsanmälan</t>
        </is>
      </c>
      <c r="D2" s="1" t="n">
        <v>46307</v>
      </c>
      <c r="E2" s="1" t="n">
        <v>46307</v>
      </c>
      <c r="F2" t="inlineStr">
        <is>
          <t>Stockholms län</t>
        </is>
      </c>
      <c r="G2" t="inlineStr">
        <is>
          <t>Haninge</t>
        </is>
      </c>
      <c r="I2" t="n">
        <v>415</v>
      </c>
      <c r="J2" t="n">
        <v>41</v>
      </c>
      <c r="K2" t="n">
        <v>45</v>
      </c>
      <c r="L2" t="n">
        <v>54</v>
      </c>
      <c r="M2" t="n">
        <v>25</v>
      </c>
      <c r="N2" t="n">
        <v>5</v>
      </c>
      <c r="O2" t="n">
        <v>0</v>
      </c>
      <c r="P2" t="n">
        <v>0</v>
      </c>
      <c r="Q2" t="n">
        <v>84</v>
      </c>
      <c r="R2" t="n">
        <v>30</v>
      </c>
      <c r="S2" t="n">
        <v>158</v>
      </c>
      <c r="T2" t="n">
        <v>1361</v>
      </c>
      <c r="U2" t="n">
        <v>0</v>
      </c>
      <c r="V2" s="2" t="inlineStr">
        <is>
          <t>Ask
Brödtaggsvamp
Koppartaggsvamp
Raggtaggsvamp
Skogsalm
Brunfläckig pärlemorfjäril
Garnlav
Goliatmusseron
Grangråticka
Gränsticka
Grönfink
Gul taggsvamp
Hasselsnok
Hussvala
Igelkott
Kejsarskivling
Knärot
Lakritsmusseron
Läderdoftande fingersvamp
Mindre bastardsvärmare
Ramaria ossolana
Ringlav
Rotfingersvamp
Ryl
Silverblåvinge
Skrovlig taggsvamp
Starrgräsfjäril
Tallgråticka
Violettkantad guldvinge
Ängsblåvinge
Apelsinticka
Backstarr
Blek fingersvamp
Blå taggsvamp
Dofttaggsvamp
Dropptaggsvamp
Dunmossa
Duvhök
Enkelbeckasin
Entita
Fjällig taggsvamp s.str.
Gransotdyna
Grantaggsvamp
Gropticka
Grönhjon
Gullpudra
Gulsparv
Jungfrulin
Kandelabersvamp
Kantdyna
Kattfotslav
Kötticka
Loppstarr
Lunglav
Mindre hackspett
Mindre tåtelsmygare
Motaggsvamp
Nordfladdermus
Orange taggsvamp
Rynkskinn
Rödvingetrast
Skarp dropptaggsvamp
Skogshare
Skuggblåslav
Storgröe
Svartvit taggsvamp
Svartöra
Svedjenäva
Såpfingersvamp
Tallfingersvamp
Tallkötticka
Tallriska
Talltaggsvamp
Tallticka
Talltita
Tjockfotad fingersvamp
Ullticka
Vedskivlav
Vedtrappmossa
Vintertagging
Vit vedfingersvamp
Vågticka
Vårärt
Älg
Björksplintborre
Blodticka
Blomkålssvamp
Blåmossa
Blåsfliksmossa
Brandticka
Bronshjon
Bågpraktmossa
Bårdlav
Dvärghäxört
Dvärgkällmossa
Flagellkvastmossa
Granbarkgnagare
Granbräken
Grovticka
Grön sköldmossa
Grönpyrola
Guldkremla
Igelkottsröksvamp
Korallrot
Mandelriska
Maskfingersvamp
Mindre märgborre
Mörk husmossa
Nästlav
Platt fjädermossa
Plattlummer
Rävticka
Rödgul trumpetsvamp
Skogsbräsma
Skogshakmossa
Sotlav
Sotriska
Stenporella
Stor aspticka
Stor revmossa
Strutbräken
Svart trolldruva
Svavelriska
Toppvaxing
Vedticka
Västlig hakmossa
Vätteros
Åttafläckig praktbagge
Ögonpyrola
Blåsippa
Brudborste
Ekbräken
Mattlummer
Nattskärra
Repestarr
Spillkråka
Tjäder
Tofsmes
Gröngöling
Grönsiska
Kungsfågel
Näktergal
Större vattensalamander
Trana
Törnskata
Huggorm
Kopparödla
Mindre vattensalamander
Skogsödla
Vanlig groda
Vanlig padda
Vanlig snok
Fläcknycklar
Myggblomster
Ängsnycklar
Lopplummer (aggregat)
Revlummer
Äkta lopplummer</t>
        </is>
      </c>
      <c r="W2">
        <f>HYPERLINK("https://klasma.github.io/Logging_HANINGE_RESERVATSFORSLAG/artfynd/Högstaskogens naturreservat artfynd.xlsx", "Högstaskogens naturreservat")</f>
        <v/>
      </c>
      <c r="X2">
        <f>HYPERLINK("https://klasma.github.io/Logging_HANINGE_RESERVATSFORSLAG/kartor/Högstaskogens naturreservat karta.png", "Högstaskogens naturreservat")</f>
        <v/>
      </c>
      <c r="Y2">
        <f>HYPERLINK("https://klasma.github.io/Logging_HANINGE_RESERVATSFORSLAG/kartor_geotiff/Högstaskogens naturreservat georefererad karta.tif", "Högstaskogens naturreservat")</f>
        <v/>
      </c>
      <c r="Z2">
        <f>HYPERLINK("https://klasma.github.io/Logging_HANINGE_RESERVATSFORSLAG/knärot/Högstaskogens naturreservat karta knärot.png", "Högstaskogens naturreservat")</f>
        <v/>
      </c>
      <c r="AA2">
        <f>HYPERLINK("https://klasma.github.io/Logging_HANINGE_RESERVATSFORSLAG/klagomål/Högstaskogens naturreservat FSC-klagomål.docx", "Högstaskogens naturreservat")</f>
        <v/>
      </c>
      <c r="AB2">
        <f>HYPERLINK("https://klasma.github.io/Logging_HANINGE_RESERVATSFORSLAG/klagomålsmail/Högstaskogens naturreservat FSC-klagomål mail.docx", "Högstaskogens naturreservat")</f>
        <v/>
      </c>
      <c r="AC2">
        <f>HYPERLINK("https://klasma.github.io/Logging_HANINGE_RESERVATSFORSLAG/tillsyn/Högstaskogens naturreservat tillsynsbegäran.docx", "Högstaskogens naturreservat")</f>
        <v/>
      </c>
      <c r="AD2">
        <f>HYPERLINK("https://klasma.github.io/Logging_HANINGE_RESERVATSFORSLAG/tillsynsmail/Högstaskogens naturreservat tillsynsbegäran mail.docx", "Högstaskogens naturreservat")</f>
        <v/>
      </c>
      <c r="AE2">
        <f>HYPERLINK("https://klasma.github.io/Logging_HANINGE_RESERVATSFORSLAG/fåglar/Högstaskogens naturreservat prioriterade fågelarter.docx", "Högstaskogens naturreservat")</f>
        <v/>
      </c>
    </row>
    <row r="3" ht="15" customHeight="1">
      <c r="A3" t="inlineStr">
        <is>
          <t>Ramsjöns naturreservat</t>
        </is>
      </c>
      <c r="B3" t="inlineStr">
        <is>
          <t>avverkningsanmälan</t>
        </is>
      </c>
      <c r="D3" s="1" t="n">
        <v>46307</v>
      </c>
      <c r="E3" s="1" t="n">
        <v>46307</v>
      </c>
      <c r="F3" t="inlineStr">
        <is>
          <t>Stockholms län</t>
        </is>
      </c>
      <c r="G3" t="inlineStr">
        <is>
          <t>Haninge</t>
        </is>
      </c>
      <c r="I3" t="n">
        <v>280.8</v>
      </c>
      <c r="J3" t="n">
        <v>40</v>
      </c>
      <c r="K3" t="n">
        <v>46</v>
      </c>
      <c r="L3" t="n">
        <v>53</v>
      </c>
      <c r="M3" t="n">
        <v>22</v>
      </c>
      <c r="N3" t="n">
        <v>3</v>
      </c>
      <c r="O3" t="n">
        <v>0</v>
      </c>
      <c r="P3" t="n">
        <v>0</v>
      </c>
      <c r="Q3" t="n">
        <v>78</v>
      </c>
      <c r="R3" t="n">
        <v>25</v>
      </c>
      <c r="S3" t="n">
        <v>156</v>
      </c>
      <c r="T3" t="n">
        <v>800</v>
      </c>
      <c r="U3" t="n">
        <v>0</v>
      </c>
      <c r="V3" s="2" t="inlineStr">
        <is>
          <t>Klätt
Koppartaggsvamp
Skogsalm
Almdyna
Blackticka
Bredbrämad bastardsvärmare
Daggvide
Garnlav
Goliatmusseron
Gränsticka
Grönfink
Knärot
Lakritsmusseron
Mindre bastardsvärmare
Mjölkörtsspinnare
Ostticka
Plattsäv
Ramaria ossolana
Rotfingersvamp
Skuggmalmätare
Solfingersvamp
Tallgråticka
Tornseglare
Ulltickeporing
Ängsblåvinge
Almkrämskinn
Apelsinticka
Blekticka
Drillsnäppa
Dropptaggsvamp
Dunmossa
Flikbålmossa
Fyrflikig jordstjärna
Gransotdyna
Grantaggsvamp
Griffelblomfluga
Gropticka
Grynig filtlav
Grönsångare
Gulbrämad flugsvamp
Jungfrulin
Kandelabersvamp
Klofibbla
Kricka
Kötticka
Mindre hackspett
Mindre purpurmätare
Motaggsvamp
Orange taggsvamp
Parkhättemossa
Phellodon aquiloniniger
Rosenticka
Rutskinn
Rynkskinn
Silltrut
Skarp dropptaggsvamp
Slåtterfibbla
Stubbtrådmossa
Svart taggsvamp
Svartvit taggsvamp
Svartöra
Svinrot
Sädesärla
Talltagel
Tallticka
Talltita
Tjockfotad fingersvamp
Ullticka
Vaddporing
Vedskivlav
Vedtrappmossa
Vintertagging
Violettgrå tagellav
Väddblomfluga
Vågticka
Vårtordyvel
Älg
Åkerrödtoppa
Alsopp
Björksplintborre
Blodticka
Blomkålssvamp
Blåmossa
Blåsfliksmossa
Brandticka
Bronshjon
Dvärgtufs
Flagellkvastmossa
Fällmossa
Granbarkgnagare
Grovticka
Grön sköldmossa
Grönpyrola
Guldlockmossa
Gullgröppa
Hasselticka
Jordstjärnesläktet
Jättesvampmal
Kornknutmossa
Kragjordstjärna
Lundbräsma
Mindre märgborre
Myskbock
Mörk husmossa
Nästlav
Rostfläck
Rävticka
Rödgul trumpetsvamp
Scharlakansvårskål agg.
Skogsbräsma
Skogsknipprot
Stenporella
Stor aspticka
Strutbräken
Stubbspretmossa
Större aspvedbock
Svart trolldruva
Tibast
Trådticka
Vedticka
Västlig hakmossa
Vätteros
Vågbandad barkbock
Zontaggsvamp
Blåsippa
Brudborste
Glansfläck
Krushättemossa
Källgräsmossa
Mattlummer
Spillkråka
Stjärtmes
Tjäder
Bred kärrtrollslända
Citronfläckad kärrtrollslända
Fiskgjuse
Fiskmås
Grön mosaikslända
Gröngöling
Grönsiska
Havsörn
Kråka
Kungsfågel
Svartvit flugsnappare
Sångsvan
Trana
Åkergroda
Huggorm
Kopparödla
Skogsödla
Vanlig padda
Vanlig snok
Fläcknycklar
Nattviol
Gullviva
Revlummer</t>
        </is>
      </c>
      <c r="W3">
        <f>HYPERLINK("https://klasma.github.io/Logging_HANINGE_RESERVATSFORSLAG/artfynd/Ramsjöns naturreservat artfynd.xlsx", "Ramsjöns naturreservat")</f>
        <v/>
      </c>
      <c r="X3">
        <f>HYPERLINK("https://klasma.github.io/Logging_HANINGE_RESERVATSFORSLAG/kartor/Ramsjöns naturreservat karta.png", "Ramsjöns naturreservat")</f>
        <v/>
      </c>
      <c r="Y3">
        <f>HYPERLINK("https://klasma.github.io/Logging_HANINGE_RESERVATSFORSLAG/kartor_geotiff/Ramsjöns naturreservat georefererad karta.tif", "Ramsjöns naturreservat")</f>
        <v/>
      </c>
      <c r="Z3">
        <f>HYPERLINK("https://klasma.github.io/Logging_HANINGE_RESERVATSFORSLAG/knärot/Ramsjöns naturreservat karta knärot.png", "Ramsjöns naturreservat")</f>
        <v/>
      </c>
      <c r="AA3">
        <f>HYPERLINK("https://klasma.github.io/Logging_HANINGE_RESERVATSFORSLAG/klagomål/Ramsjöns naturreservat FSC-klagomål.docx", "Ramsjöns naturreservat")</f>
        <v/>
      </c>
      <c r="AB3">
        <f>HYPERLINK("https://klasma.github.io/Logging_HANINGE_RESERVATSFORSLAG/klagomålsmail/Ramsjöns naturreservat FSC-klagomål mail.docx", "Ramsjöns naturreservat")</f>
        <v/>
      </c>
      <c r="AC3">
        <f>HYPERLINK("https://klasma.github.io/Logging_HANINGE_RESERVATSFORSLAG/tillsyn/Ramsjöns naturreservat tillsynsbegäran.docx", "Ramsjöns naturreservat")</f>
        <v/>
      </c>
      <c r="AD3">
        <f>HYPERLINK("https://klasma.github.io/Logging_HANINGE_RESERVATSFORSLAG/tillsynsmail/Ramsjöns naturreservat tillsynsbegäran mail.docx", "Ramsjöns naturreservat")</f>
        <v/>
      </c>
      <c r="AE3">
        <f>HYPERLINK("https://klasma.github.io/Logging_HANINGE_RESERVATSFORSLAG/fåglar/Ramsjöns naturreservat prioriterade fågelarter.docx", "Ramsjöns naturreservat")</f>
        <v/>
      </c>
    </row>
    <row r="4" ht="15" customHeight="1">
      <c r="A4" t="inlineStr">
        <is>
          <t>Norrbytorps naturreservat utökat</t>
        </is>
      </c>
      <c r="B4" t="inlineStr">
        <is>
          <t>avverkningsanmälan</t>
        </is>
      </c>
      <c r="D4" s="1" t="n">
        <v>46307</v>
      </c>
      <c r="E4" s="1" t="n">
        <v>46307</v>
      </c>
      <c r="F4" t="inlineStr">
        <is>
          <t>Stockholms län</t>
        </is>
      </c>
      <c r="G4" t="inlineStr">
        <is>
          <t>Haninge</t>
        </is>
      </c>
      <c r="I4" t="n">
        <v>194.4</v>
      </c>
      <c r="J4" t="n">
        <v>42</v>
      </c>
      <c r="K4" t="n">
        <v>33</v>
      </c>
      <c r="L4" t="n">
        <v>46</v>
      </c>
      <c r="M4" t="n">
        <v>18</v>
      </c>
      <c r="N4" t="n">
        <v>3</v>
      </c>
      <c r="O4" t="n">
        <v>0</v>
      </c>
      <c r="P4" t="n">
        <v>0</v>
      </c>
      <c r="Q4" t="n">
        <v>68</v>
      </c>
      <c r="R4" t="n">
        <v>21</v>
      </c>
      <c r="S4" t="n">
        <v>132</v>
      </c>
      <c r="T4" t="n">
        <v>1229</v>
      </c>
      <c r="U4" t="n">
        <v>0</v>
      </c>
      <c r="V4" s="2" t="inlineStr">
        <is>
          <t>Brödtaggsvamp
Koppartaggsvamp
Svartoxe
Garnlav
Goliatmusseron
Gränsticka
Gul taggsvamp
Hasselsnok
Jättemusseron
Knärot
Lakritsmusseron
Lappuggla
Liten hornflikmossa
Mindre bastardsvärmare
Mjölkörtsspinnare
Ostticka
Ringlav
Rotfingersvamp
Sexfläckig bastardsvärmare
Skrovlig taggsvamp
Tallgråticka
Adam och eva
Apelsinticka
Blå taggsvamp
Blåhake
Brunklöver
Brunlångöra
Dofttaggsvamp
Dropptaggsvamp
Duvhök
Fjällig taggsvamp s.str.
Fyrflikig jordstjärna
Gelatinfingersvamp
Grantaggsvamp
Gullklöver
Gulsparv
Jungfrulin
Järnsparv
Kandelabersvamp
Koralltaggsvamp
Krusfrö
Lunglav
Mindre hackspett
Motaggsvamp
Nordfladdermus
Orange taggsvamp
Reliktbock
Rosenticka
Rynkskinn
Skarp dropptaggsvamp
Skogsklocka
Svartvit taggsvamp
Sågtandad mycelbagge
Tallfingersvamp
Tallkötticka
Talltagel
Tallticka
Talltita
Tjockfotad fingersvamp
Ullticka
Vaddporing
Veckticka
Vedskivlav
Vedtrappmossa
Vintertagging
Vit vedfingersvamp
Vågticka
Porodaedalea chrysoloma
Aspvedborre
Björksplintborre
Blodticka
Blomkålssvamp
Blåmossa
Brandticka
Bronshjon
Dorcatoma dresdensis
Flagellkvastmossa
Fällmossa
Granbarkgnagare
Grovticka
Grön sköldmossa
Grönpyrola
Jättesvampmal
Korallrot
Mindre märgborre
Nästlav
Platt fjädermossa
Plattlummer
Rostfläck
Rödgul trumpetsvamp
Spindelblomster
Stor aspticka
Stubbspretmossa
Thomsons trägnagare
Thymalus limbatus
Trådticka
Vanlig flatbagge
Vedticka
Västlig hakmossa
Vågbandad barkbock
Zontaggsvamp
Blåsippa
Ekbräken
Hultbräken
Krushättemossa
Linnea
Mattlummer
Nattskärra
Spillkråka
Tallört (aggregat)
Tjäder
Tofsmes
Dvärgpipistrell
Gröngöling
Grönsiska
Havsörn
Kungsfågel
Större brunfladdermus
Trana
Trollpipistrell
Törnskata
Vattenfladdermus
Åkergroda
Huggorm
Kopparödla
Mindre vattensalamander
Vanlig groda
Vanlig padda
Vanlig snok
Fläcknycklar
Nattviol
Revlummer</t>
        </is>
      </c>
      <c r="W4">
        <f>HYPERLINK("https://klasma.github.io/Logging_HANINGE_RESERVATSFORSLAG/artfynd/Norrbytorps naturreservat utökat artfynd.xlsx", "Norrbytorps naturreservat utökat")</f>
        <v/>
      </c>
      <c r="X4">
        <f>HYPERLINK("https://klasma.github.io/Logging_HANINGE_RESERVATSFORSLAG/kartor/Norrbytorps naturreservat utökat karta.png", "Norrbytorps naturreservat utökat")</f>
        <v/>
      </c>
      <c r="Y4">
        <f>HYPERLINK("https://klasma.github.io/Logging_HANINGE_RESERVATSFORSLAG/kartor_geotiff/Norrbytorps naturreservat utökat georefererad karta.tif", "Norrbytorps naturreservat utökat")</f>
        <v/>
      </c>
      <c r="Z4">
        <f>HYPERLINK("https://klasma.github.io/Logging_HANINGE_RESERVATSFORSLAG/knärot/Norrbytorps naturreservat utökat karta knärot.png", "Norrbytorps naturreservat utökat")</f>
        <v/>
      </c>
      <c r="AA4">
        <f>HYPERLINK("https://klasma.github.io/Logging_HANINGE_RESERVATSFORSLAG/klagomål/Norrbytorps naturreservat utökat FSC-klagomål.docx", "Norrbytorps naturreservat utökat")</f>
        <v/>
      </c>
      <c r="AB4">
        <f>HYPERLINK("https://klasma.github.io/Logging_HANINGE_RESERVATSFORSLAG/klagomålsmail/Norrbytorps naturreservat utökat FSC-klagomål mail.docx", "Norrbytorps naturreservat utökat")</f>
        <v/>
      </c>
      <c r="AC4">
        <f>HYPERLINK("https://klasma.github.io/Logging_HANINGE_RESERVATSFORSLAG/tillsyn/Norrbytorps naturreservat utökat tillsynsbegäran.docx", "Norrbytorps naturreservat utökat")</f>
        <v/>
      </c>
      <c r="AD4">
        <f>HYPERLINK("https://klasma.github.io/Logging_HANINGE_RESERVATSFORSLAG/tillsynsmail/Norrbytorps naturreservat utökat tillsynsbegäran mail.docx", "Norrbytorps naturreservat utökat")</f>
        <v/>
      </c>
      <c r="AE4">
        <f>HYPERLINK("https://klasma.github.io/Logging_HANINGE_RESERVATSFORSLAG/fåglar/Norrbytorps naturreservat utökat prioriterade fågelarter.docx", "Norrbytorps naturreservat utökat")</f>
        <v/>
      </c>
    </row>
    <row r="5" ht="15" customHeight="1">
      <c r="A5" t="inlineStr">
        <is>
          <t>Ornös nordspets</t>
        </is>
      </c>
      <c r="B5" t="inlineStr">
        <is>
          <t>avverkningsanmälan</t>
        </is>
      </c>
      <c r="D5" s="1" t="n">
        <v>46307</v>
      </c>
      <c r="E5" s="1" t="n">
        <v>46307</v>
      </c>
      <c r="F5" t="inlineStr">
        <is>
          <t>Stockholms län</t>
        </is>
      </c>
      <c r="G5" t="inlineStr">
        <is>
          <t>Haninge</t>
        </is>
      </c>
      <c r="I5" t="n">
        <v>450.6</v>
      </c>
      <c r="J5" t="n">
        <v>25</v>
      </c>
      <c r="K5" t="n">
        <v>58</v>
      </c>
      <c r="L5" t="n">
        <v>35</v>
      </c>
      <c r="M5" t="n">
        <v>10</v>
      </c>
      <c r="N5" t="n">
        <v>5</v>
      </c>
      <c r="O5" t="n">
        <v>0</v>
      </c>
      <c r="P5" t="n">
        <v>0</v>
      </c>
      <c r="Q5" t="n">
        <v>51</v>
      </c>
      <c r="R5" t="n">
        <v>15</v>
      </c>
      <c r="S5" t="n">
        <v>121</v>
      </c>
      <c r="T5" t="n">
        <v>451</v>
      </c>
      <c r="U5" t="n">
        <v>0</v>
      </c>
      <c r="V5" s="2" t="inlineStr">
        <is>
          <t>Almlav
Ask
Fetörtsblåvinge
Koppartaggsvamp
Spricktaggsvamp
Grangråticka
Gränsticka
Hasselsnok
Klosterlav
Knärot
Mörk kraterlav
Phellodon melilotinus
Skuggmalmätare
Tornseglare
Vedsäckmossa
Apollofjäril
Berggräsfjäril
Crepis tectorum subsp. tectorum
Drillsnäppa
Dropptaggsvamp
Ekticka
Fjällig taggsvamp s.str.
Flattoppad klubbsvamp
Gammelekslav
Gropticka
Grönhjon
Gulbent kamklobagge
Jungfrulin
Kandelabersvamp
Kremlevaxskivling
Ladusvala
Lunglav
Mindre poppelglasvinge
Motaggsvamp
Oxtungssvamp
Phellodon dititomentosus
Reliktbock
Rosa skärelav
Sammetsfrölöpare
Scharlakansvaxing
Silltrut
Skeppsvarvsfluga
Sädesärla
Sårläka
Tallticka
Tjockfotad fingersvamp
Vedskivlav
Vedtrappmossa
Vippärt
Vit vedfingersvamp
Porodaedalea chrysoloma
Aspvedgnagare
Barkticka
Björksplintborre
Blanksvart trämyra
Blodvaxing
Blomkålssvamp
Blåmossa
Bolmörtsskivling
Bårdlav
Dorcatoma chrysomelina
Dorcatoma dresdensis
Dvärgtufs
Flagellkvastmossa
Fällmossa
Granbarkgnagare
Granbräken
Grov baronmossa
Grov fjädermossa
Grovticka
Grön sköldmossa
Guldkremla
Guldlockmossa
Gulpudrad spiklav
Gulröd blankbock
Hasselticka
Jättesvampmal
Kantarellvaxing
Kruskantarell
Luktvaxing
Lönnlav
Mindre märgborre
Myskbock
Myskmadra
Noshornsoxe
Nästrot
Platt fjädermossa
Rostfläck
Rödgul trumpetsvamp
Skogsknipprot
Slanklav
Stekelbock
Stor aspticka
Stor knopplav
Stubbspretmossa
Svart trolldruva
Svavelriska
Thomsons trägnagare
Traslav
Trubbfjädermossa
Trådticka
Tvåblad
Vedticka
Vit skogslilja
Vitvaxing agg.
Västlig hakmossa
Zontaggsvamp
Ängsvaxing agg.
Åttafläckig praktbagge
Blåsippa
Mattlummer
Spillkråka
Gröngöling
Svartvit flugsnappare
Kopparödla
Vanlig padda
Vanlig snok
Fläcknycklar
Grönvit nattviol
Nattviol
Gullviva</t>
        </is>
      </c>
      <c r="W5">
        <f>HYPERLINK("https://klasma.github.io/Logging_HANINGE_RESERVATSFORSLAG/artfynd/Ornös nordspets artfynd.xlsx", "Ornös nordspets")</f>
        <v/>
      </c>
      <c r="X5">
        <f>HYPERLINK("https://klasma.github.io/Logging_HANINGE_RESERVATSFORSLAG/kartor/Ornös nordspets karta.png", "Ornös nordspets")</f>
        <v/>
      </c>
      <c r="Y5">
        <f>HYPERLINK("https://klasma.github.io/Logging_HANINGE_RESERVATSFORSLAG/kartor_geotiff/Ornös nordspets georefererad karta.tif", "Ornös nordspets")</f>
        <v/>
      </c>
      <c r="Z5">
        <f>HYPERLINK("https://klasma.github.io/Logging_HANINGE_RESERVATSFORSLAG/knärot/Ornös nordspets karta knärot.png", "Ornös nordspets")</f>
        <v/>
      </c>
      <c r="AA5">
        <f>HYPERLINK("https://klasma.github.io/Logging_HANINGE_RESERVATSFORSLAG/klagomål/Ornös nordspets FSC-klagomål.docx", "Ornös nordspets")</f>
        <v/>
      </c>
      <c r="AB5">
        <f>HYPERLINK("https://klasma.github.io/Logging_HANINGE_RESERVATSFORSLAG/klagomålsmail/Ornös nordspets FSC-klagomål mail.docx", "Ornös nordspets")</f>
        <v/>
      </c>
      <c r="AC5">
        <f>HYPERLINK("https://klasma.github.io/Logging_HANINGE_RESERVATSFORSLAG/tillsyn/Ornös nordspets tillsynsbegäran.docx", "Ornös nordspets")</f>
        <v/>
      </c>
      <c r="AD5">
        <f>HYPERLINK("https://klasma.github.io/Logging_HANINGE_RESERVATSFORSLAG/tillsynsmail/Ornös nordspets tillsynsbegäran mail.docx", "Ornös nordspets")</f>
        <v/>
      </c>
      <c r="AE5">
        <f>HYPERLINK("https://klasma.github.io/Logging_HANINGE_RESERVATSFORSLAG/fåglar/Ornös nordspets prioriterade fågelarter.docx", "Ornös nordspets")</f>
        <v/>
      </c>
    </row>
    <row r="6" ht="15" customHeight="1">
      <c r="A6" t="inlineStr">
        <is>
          <t>Norrbytorps naturreservat</t>
        </is>
      </c>
      <c r="B6" t="inlineStr">
        <is>
          <t>avverkningsanmälan</t>
        </is>
      </c>
      <c r="D6" s="1" t="n">
        <v>46307</v>
      </c>
      <c r="E6" s="1" t="n">
        <v>46307</v>
      </c>
      <c r="F6" t="inlineStr">
        <is>
          <t>Stockholms län</t>
        </is>
      </c>
      <c r="G6" t="inlineStr">
        <is>
          <t>Haninge</t>
        </is>
      </c>
      <c r="I6" t="n">
        <v>159.7</v>
      </c>
      <c r="J6" t="n">
        <v>39</v>
      </c>
      <c r="K6" t="n">
        <v>27</v>
      </c>
      <c r="L6" t="n">
        <v>41</v>
      </c>
      <c r="M6" t="n">
        <v>16</v>
      </c>
      <c r="N6" t="n">
        <v>2</v>
      </c>
      <c r="O6" t="n">
        <v>0</v>
      </c>
      <c r="P6" t="n">
        <v>0</v>
      </c>
      <c r="Q6" t="n">
        <v>59</v>
      </c>
      <c r="R6" t="n">
        <v>18</v>
      </c>
      <c r="S6" t="n">
        <v>114</v>
      </c>
      <c r="T6" t="n">
        <v>1047</v>
      </c>
      <c r="U6" t="n">
        <v>0</v>
      </c>
      <c r="V6" s="2" t="inlineStr">
        <is>
          <t>Brödtaggsvamp
Koppartaggsvamp
Garnlav
Goliatmusseron
Gränsticka
Gul taggsvamp
Hasselsnok
Jättemusseron
Knärot
Lakritsmusseron
Lappuggla
Mindre bastardsvärmare
Mjölkörtsspinnare
Ringlav
Rotfingersvamp
Sexfläckig bastardsvärmare
Skrovlig taggsvamp
Tallgråticka
Adam och eva
Apelsinticka
Blå taggsvamp
Blåhake
Brunklöver
Brunlångöra
Dofttaggsvamp
Dropptaggsvamp
Duvhök
Fjällig taggsvamp s.str.
Fyrflikig jordstjärna
Gelatinfingersvamp
Grantaggsvamp
Gullklöver
Gulsparv
Jungfrulin
Järnsparv
Kandelabersvamp
Koralltaggsvamp
Krusfrö
Lunglav
Mindre hackspett
Motaggsvamp
Nordfladdermus
Orange taggsvamp
Reliktbock
Skarp dropptaggsvamp
Skogsklocka
Svartvit taggsvamp
Tallfingersvamp
Tallkötticka
Talltagel
Tallticka
Talltita
Tjockfotad fingersvamp
Ullticka
Vaddporing
Vedskivlav
Vedtrappmossa
Vintertagging
Vågticka
Björksplintborre
Blodticka
Blomkålssvamp
Blåmossa
Brandticka
Bronshjon
Flagellkvastmossa
Fällmossa
Granbarkgnagare
Grovticka
Grön sköldmossa
Grönpyrola
Jättesvampmal
Korallrot
Mindre märgborre
Nästlav
Plattlummer
Rostfläck
Rödgul trumpetsvamp
Spindelblomster
Stubbspretmossa
Thomsons trägnagare
Trådticka
Vedticka
Västlig hakmossa
Vågbandad barkbock
Zontaggsvamp
Blåsippa
Ekbräken
Hultbräken
Krushättemossa
Linnea
Mattlummer
Nattskärra
Spillkråka
Tallört (aggregat)
Tjäder
Tofsmes
Dvärgpipistrell
Gröngöling
Havsörn
Större brunfladdermus
Trana
Trollpipistrell
Törnskata
Vattenfladdermus
Åkergroda
Huggorm
Kopparödla
Mindre vattensalamander
Vanlig groda
Vanlig padda
Vanlig snok
Fläcknycklar
Revlummer</t>
        </is>
      </c>
      <c r="W6">
        <f>HYPERLINK("https://klasma.github.io/Logging_HANINGE_RESERVATSFORSLAG/artfynd/Norrbytorps naturreservat artfynd.xlsx", "Norrbytorps naturreservat")</f>
        <v/>
      </c>
      <c r="X6">
        <f>HYPERLINK("https://klasma.github.io/Logging_HANINGE_RESERVATSFORSLAG/kartor/Norrbytorps naturreservat karta.png", "Norrbytorps naturreservat")</f>
        <v/>
      </c>
      <c r="Y6">
        <f>HYPERLINK("https://klasma.github.io/Logging_HANINGE_RESERVATSFORSLAG/kartor_geotiff/Norrbytorps naturreservat georefererad karta.tif", "Norrbytorps naturreservat")</f>
        <v/>
      </c>
      <c r="Z6">
        <f>HYPERLINK("https://klasma.github.io/Logging_HANINGE_RESERVATSFORSLAG/knärot/Norrbytorps naturreservat karta knärot.png", "Norrbytorps naturreservat")</f>
        <v/>
      </c>
      <c r="AA6">
        <f>HYPERLINK("https://klasma.github.io/Logging_HANINGE_RESERVATSFORSLAG/klagomål/Norrbytorps naturreservat FSC-klagomål.docx", "Norrbytorps naturreservat")</f>
        <v/>
      </c>
      <c r="AB6">
        <f>HYPERLINK("https://klasma.github.io/Logging_HANINGE_RESERVATSFORSLAG/klagomålsmail/Norrbytorps naturreservat FSC-klagomål mail.docx", "Norrbytorps naturreservat")</f>
        <v/>
      </c>
      <c r="AC6">
        <f>HYPERLINK("https://klasma.github.io/Logging_HANINGE_RESERVATSFORSLAG/tillsyn/Norrbytorps naturreservat tillsynsbegäran.docx", "Norrbytorps naturreservat")</f>
        <v/>
      </c>
      <c r="AD6">
        <f>HYPERLINK("https://klasma.github.io/Logging_HANINGE_RESERVATSFORSLAG/tillsynsmail/Norrbytorps naturreservat tillsynsbegäran mail.docx", "Norrbytorps naturreservat")</f>
        <v/>
      </c>
      <c r="AE6">
        <f>HYPERLINK("https://klasma.github.io/Logging_HANINGE_RESERVATSFORSLAG/fåglar/Norrbytorps naturreservat prioriterade fågelarter.docx", "Norrbytorps naturreservat")</f>
        <v/>
      </c>
    </row>
    <row r="7" ht="15" customHeight="1">
      <c r="A7" t="inlineStr">
        <is>
          <t>Skäggsmoskogens naturreservat</t>
        </is>
      </c>
      <c r="B7" t="inlineStr">
        <is>
          <t>avverkningsanmälan</t>
        </is>
      </c>
      <c r="D7" s="1" t="n">
        <v>46307</v>
      </c>
      <c r="E7" s="1" t="n">
        <v>46307</v>
      </c>
      <c r="F7" t="inlineStr">
        <is>
          <t>Stockholms län</t>
        </is>
      </c>
      <c r="G7" t="inlineStr">
        <is>
          <t>Haninge</t>
        </is>
      </c>
      <c r="H7" t="inlineStr">
        <is>
          <t>Kommuner</t>
        </is>
      </c>
      <c r="I7" t="n">
        <v>185.8</v>
      </c>
      <c r="J7" t="n">
        <v>66</v>
      </c>
      <c r="K7" t="n">
        <v>19</v>
      </c>
      <c r="L7" t="n">
        <v>37</v>
      </c>
      <c r="M7" t="n">
        <v>10</v>
      </c>
      <c r="N7" t="n">
        <v>5</v>
      </c>
      <c r="O7" t="n">
        <v>0</v>
      </c>
      <c r="P7" t="n">
        <v>0</v>
      </c>
      <c r="Q7" t="n">
        <v>53</v>
      </c>
      <c r="R7" t="n">
        <v>15</v>
      </c>
      <c r="S7" t="n">
        <v>109</v>
      </c>
      <c r="T7" t="n">
        <v>268</v>
      </c>
      <c r="U7" t="n">
        <v>0</v>
      </c>
      <c r="V7" s="2" t="inlineStr">
        <is>
          <t>Grusnejlika
Havstrut
Kattmynta
Skogsalm
Stjärtand
Brunfläckig pärlemorfjäril
Gråtrut
Grönfink
Småfläckig sumphöna
Stare
Starrgräsfjäril
Tornseglare
Ängsblåvinge
Ängssalvia
Åkerrättika
Apelsinticka
Björktrast
Bläsand
Crepis tectorum subsp. tectorum
Dofttaggsvamp
Drillsnäppa
Duvhök
Enkelbeckasin
Entita
Etternässla
Fjällig taggsvamp s.str.
Grönsångare
Gullpudra
Gulsparv
Järnsparv
Kavelhirs
Kricka
Mindre hackspett
Mindre tåtelsmygare
Motaggsvamp
Nordfladdermus
Rynkskinn
Rödfläckigt jordfly
Rödvingetrast
Rörsångare
Silltrut
Skogshare
Skrattmås
Svart skogssnigel
Svartöra
Sädesärla
Tallticka
Talltita
Ullticka
Vinterhämpling
Vågticka
Älg
Sotkremla
Björksplintborre
Blodticka
Brandticka
Granbarkgnagare
Grön sköldmossa
Grönpyrola
Hagfingersvamp
Kambräken
Korallrot
Källmossor
Rödgul trumpetsvamp
Skogsbräsma
Skogshakmossa
Smal svampklubba
Sotriska
Strutbräken
Stubbspretmossa
Svavelriska
Vedticka
Järpe
Kärrfibbla
Mattlummer
Spillkråka
Stjärtmes
Tallbit
Tjäder
Tofsmes
Dvärgpipistrell
Fiskgjuse
Fiskmås
Gröngöling
Grönsiska
Havsörn
Kråka
Kungsfågel
Orre
Större brunfladdermus
Svartvit flugsnappare
Sävsparv
Sångsvan
Trana
Trädlärka
Vattenfladdermus
Ärtsångare
Åkergroda
Huggorm
Kopparödla
Mindre vattensalamander
Vanlig groda
Vanlig padda
Vanlig snok
Fläcknycklar
Grönvit nattviol
Vanliga ängsnycklar
Ängsnycklar
Revlummer</t>
        </is>
      </c>
      <c r="W7">
        <f>HYPERLINK("https://klasma.github.io/Logging_HANINGE_RESERVATSFORSLAG/artfynd/Skäggsmoskogens naturreservat artfynd.xlsx", "Skäggsmoskogens naturreservat")</f>
        <v/>
      </c>
      <c r="X7">
        <f>HYPERLINK("https://klasma.github.io/Logging_HANINGE_RESERVATSFORSLAG/kartor/Skäggsmoskogens naturreservat karta.png", "Skäggsmoskogens naturreservat")</f>
        <v/>
      </c>
      <c r="Y7">
        <f>HYPERLINK("https://klasma.github.io/Logging_HANINGE_RESERVATSFORSLAG/kartor_geotiff/Skäggsmoskogens naturreservat georefererad karta.tif", "Skäggsmoskogens naturreservat")</f>
        <v/>
      </c>
      <c r="AA7">
        <f>HYPERLINK("https://klasma.github.io/Logging_HANINGE_RESERVATSFORSLAG/klagomål/Skäggsmoskogens naturreservat FSC-klagomål.docx", "Skäggsmoskogens naturreservat")</f>
        <v/>
      </c>
      <c r="AB7">
        <f>HYPERLINK("https://klasma.github.io/Logging_HANINGE_RESERVATSFORSLAG/klagomålsmail/Skäggsmoskogens naturreservat FSC-klagomål mail.docx", "Skäggsmoskogens naturreservat")</f>
        <v/>
      </c>
      <c r="AC7">
        <f>HYPERLINK("https://klasma.github.io/Logging_HANINGE_RESERVATSFORSLAG/tillsyn/Skäggsmoskogens naturreservat tillsynsbegäran.docx", "Skäggsmoskogens naturreservat")</f>
        <v/>
      </c>
      <c r="AD7">
        <f>HYPERLINK("https://klasma.github.io/Logging_HANINGE_RESERVATSFORSLAG/tillsynsmail/Skäggsmoskogens naturreservat tillsynsbegäran mail.docx", "Skäggsmoskogens naturreservat")</f>
        <v/>
      </c>
      <c r="AE7">
        <f>HYPERLINK("https://klasma.github.io/Logging_HANINGE_RESERVATSFORSLAG/fåglar/Skäggsmoskogens naturreservat prioriterade fågelarter.docx", "Skäggsmoskogens naturreservat")</f>
        <v/>
      </c>
    </row>
    <row r="8" ht="15" customHeight="1">
      <c r="A8" t="inlineStr">
        <is>
          <t>Breviksnäs</t>
        </is>
      </c>
      <c r="B8" t="inlineStr">
        <is>
          <t>avverkningsanmälan</t>
        </is>
      </c>
      <c r="D8" s="1" t="n">
        <v>46307</v>
      </c>
      <c r="E8" s="1" t="n">
        <v>46307</v>
      </c>
      <c r="F8" t="inlineStr">
        <is>
          <t>Stockholms län</t>
        </is>
      </c>
      <c r="G8" t="inlineStr">
        <is>
          <t>Haninge</t>
        </is>
      </c>
      <c r="I8" t="n">
        <v>80.40000000000001</v>
      </c>
      <c r="J8" t="n">
        <v>29</v>
      </c>
      <c r="K8" t="n">
        <v>26</v>
      </c>
      <c r="L8" t="n">
        <v>26</v>
      </c>
      <c r="M8" t="n">
        <v>4</v>
      </c>
      <c r="N8" t="n">
        <v>1</v>
      </c>
      <c r="O8" t="n">
        <v>0</v>
      </c>
      <c r="P8" t="n">
        <v>0</v>
      </c>
      <c r="Q8" t="n">
        <v>32</v>
      </c>
      <c r="R8" t="n">
        <v>5</v>
      </c>
      <c r="S8" t="n">
        <v>76</v>
      </c>
      <c r="T8" t="n">
        <v>364</v>
      </c>
      <c r="U8" t="n">
        <v>0</v>
      </c>
      <c r="V8" s="2" t="inlineStr">
        <is>
          <t>Skogsalm
Grönfink
Knärot
Liten hornflikmossa
Ryl
Björktrast
Brunlångöra
Desmeknopp
Duvhök
Entita
Fjällig taggsvamp s.str.
Grönhjon
Luddfingersvamp
Mindre hackspett
Motaggsvamp
Nordfladdermus
Reliktbock
Rödfläckig zontaggsvamp
Rödvingetrast
Skarp dropptaggsvamp
Skrattmås
Sotvaxskivling
Strandskata
Sårläka
Tallticka
Talltita
Ullticka
Vaddporing
Vedskivlav
Vintertagging
Älg
Porodaedalea chrysoloma
Björksplintborre
Blek stjärnmossa
Blodvaxing
Blåmossa
Bronshjon
Diskvaxskivling
Dvärghäxört
Fällmossa
Granbarkgnagare
Grovticka
Grön sköldmossa
Guldlockmossa
Jättesvampmal
Kornknutmossa
Mindre märgborre
Myskbock
Platt fjädermossa
Scharlakansvårskål agg.
Smal svampklubba
Stubbspretmossa
Svavelriska
Thomsons trägnagare
Trådticka
Vedticka
Västlig hakmossa
Vågbandad barkbock
Blåsippa
Krushättemossa
Linnea
Spillkråka
Tjäder
Tofsmes
Dvärgpipistrell
Gröngöling
Grönsiska
Havsörn
Kråka
Kungsfågel
Större brunfladdermus
Sångsvan
Vattenfladdermus
Vanlig groda
Lopplummer (aggregat)
Revlummer</t>
        </is>
      </c>
      <c r="W8">
        <f>HYPERLINK("https://klasma.github.io/Logging_HANINGE_RESERVATSFORSLAG/artfynd/Breviksnäs artfynd.xlsx", "Breviksnäs")</f>
        <v/>
      </c>
      <c r="X8">
        <f>HYPERLINK("https://klasma.github.io/Logging_HANINGE_RESERVATSFORSLAG/kartor/Breviksnäs karta.png", "Breviksnäs")</f>
        <v/>
      </c>
      <c r="Y8">
        <f>HYPERLINK("https://klasma.github.io/Logging_HANINGE_RESERVATSFORSLAG/kartor_geotiff/Breviksnäs georefererad karta.tif", "Breviksnäs")</f>
        <v/>
      </c>
      <c r="Z8">
        <f>HYPERLINK("https://klasma.github.io/Logging_HANINGE_RESERVATSFORSLAG/knärot/Breviksnäs karta knärot.png", "Breviksnäs")</f>
        <v/>
      </c>
      <c r="AA8">
        <f>HYPERLINK("https://klasma.github.io/Logging_HANINGE_RESERVATSFORSLAG/klagomål/Breviksnäs FSC-klagomål.docx", "Breviksnäs")</f>
        <v/>
      </c>
      <c r="AB8">
        <f>HYPERLINK("https://klasma.github.io/Logging_HANINGE_RESERVATSFORSLAG/klagomålsmail/Breviksnäs FSC-klagomål mail.docx", "Breviksnäs")</f>
        <v/>
      </c>
      <c r="AC8">
        <f>HYPERLINK("https://klasma.github.io/Logging_HANINGE_RESERVATSFORSLAG/tillsyn/Breviksnäs tillsynsbegäran.docx", "Breviksnäs")</f>
        <v/>
      </c>
      <c r="AD8">
        <f>HYPERLINK("https://klasma.github.io/Logging_HANINGE_RESERVATSFORSLAG/tillsynsmail/Breviksnäs tillsynsbegäran mail.docx", "Breviksnäs")</f>
        <v/>
      </c>
      <c r="AE8">
        <f>HYPERLINK("https://klasma.github.io/Logging_HANINGE_RESERVATSFORSLAG/fåglar/Breviksnäs prioriterade fågelarter.docx", "Breviksnäs")</f>
        <v/>
      </c>
    </row>
    <row r="9" ht="15" customHeight="1">
      <c r="A9" t="inlineStr">
        <is>
          <t>Tyresta naturreservat med skogsbruk</t>
        </is>
      </c>
      <c r="B9" t="inlineStr">
        <is>
          <t>avverkningsanmälan</t>
        </is>
      </c>
      <c r="D9" s="1" t="n">
        <v>46307</v>
      </c>
      <c r="E9" s="1" t="n">
        <v>46307</v>
      </c>
      <c r="F9" t="inlineStr">
        <is>
          <t>Stockholms län</t>
        </is>
      </c>
      <c r="G9" t="inlineStr">
        <is>
          <t>Haninge</t>
        </is>
      </c>
      <c r="I9" t="n">
        <v>237.7</v>
      </c>
      <c r="J9" t="n">
        <v>26</v>
      </c>
      <c r="K9" t="n">
        <v>17</v>
      </c>
      <c r="L9" t="n">
        <v>26</v>
      </c>
      <c r="M9" t="n">
        <v>10</v>
      </c>
      <c r="N9" t="n">
        <v>2</v>
      </c>
      <c r="O9" t="n">
        <v>0</v>
      </c>
      <c r="P9" t="n">
        <v>0</v>
      </c>
      <c r="Q9" t="n">
        <v>38</v>
      </c>
      <c r="R9" t="n">
        <v>12</v>
      </c>
      <c r="S9" t="n">
        <v>73</v>
      </c>
      <c r="T9" t="n">
        <v>700</v>
      </c>
      <c r="U9" t="n">
        <v>0</v>
      </c>
      <c r="V9" s="2" t="inlineStr">
        <is>
          <t>Brandnäva
Koppartaggsvamp
Garnlav
Goliatmusseron
Grangråticka
Hasselsnok
Jättemusseron
Knärot
Lakritsmusseron
Mindre bastardsvärmare
Rotfingersvamp
Skrovlig taggsvamp
Blå taggsvamp
Dofttaggsvamp
Dropptaggsvamp
Fjällig taggsvamp s.str.
Fyrflikig jordstjärna
Grantaggsvamp
Jungfrulin
Järnsparv
Mindre hackspett
Motaggsvamp
Orange taggsvamp
Reliktbock
Skarp dropptaggsvamp
Skogshare
Svartvit taggsvamp
Svedjenäva
Sårläka
Tallkötticka
Tallticka
Talltita
Tjockfotad fingersvamp
Ullticka
Vedskivlav
Vedtrappmossa
Vintertagging
Älg
Blodticka
Blomkålssvamp
Blåmossa
Brandticka
Grovticka
Grön sköldmossa
Grönpyrola
Kambräken
Kamjordstjärna
Korallrot
Mindre märgborre
Plattlummer
Rödgul trumpetsvamp
Spindelblomster
Vedticka
Vätteros
Zontaggsvamp
Linnea
Mattlummer
Nattskärra
Spillkråka
Tjäder
Tofsmes
Havsörn
Kungsfågel
Trädlärka
Huggorm
Kopparödla
Mindre vattensalamander
Vanlig groda
Vanlig padda
Vanlig snok
Fläcknycklar
Lopplummer (aggregat)
Revlummer</t>
        </is>
      </c>
      <c r="W9">
        <f>HYPERLINK("https://klasma.github.io/Logging_HANINGE_RESERVATSFORSLAG/artfynd/Tyresta naturreservat med skogsbruk artfynd.xlsx", "Tyresta naturreservat med skogsbruk")</f>
        <v/>
      </c>
      <c r="X9">
        <f>HYPERLINK("https://klasma.github.io/Logging_HANINGE_RESERVATSFORSLAG/kartor/Tyresta naturreservat med skogsbruk karta.png", "Tyresta naturreservat med skogsbruk")</f>
        <v/>
      </c>
      <c r="Y9">
        <f>HYPERLINK("https://klasma.github.io/Logging_HANINGE_RESERVATSFORSLAG/kartor_geotiff/Tyresta naturreservat med skogsbruk georefererad karta.tif", "Tyresta naturreservat med skogsbruk")</f>
        <v/>
      </c>
      <c r="Z9">
        <f>HYPERLINK("https://klasma.github.io/Logging_HANINGE_RESERVATSFORSLAG/knärot/Tyresta naturreservat med skogsbruk karta knärot.png", "Tyresta naturreservat med skogsbruk")</f>
        <v/>
      </c>
      <c r="AA9">
        <f>HYPERLINK("https://klasma.github.io/Logging_HANINGE_RESERVATSFORSLAG/klagomål/Tyresta naturreservat med skogsbruk FSC-klagomål.docx", "Tyresta naturreservat med skogsbruk")</f>
        <v/>
      </c>
      <c r="AB9">
        <f>HYPERLINK("https://klasma.github.io/Logging_HANINGE_RESERVATSFORSLAG/klagomålsmail/Tyresta naturreservat med skogsbruk FSC-klagomål mail.docx", "Tyresta naturreservat med skogsbruk")</f>
        <v/>
      </c>
      <c r="AC9">
        <f>HYPERLINK("https://klasma.github.io/Logging_HANINGE_RESERVATSFORSLAG/tillsyn/Tyresta naturreservat med skogsbruk tillsynsbegäran.docx", "Tyresta naturreservat med skogsbruk")</f>
        <v/>
      </c>
      <c r="AD9">
        <f>HYPERLINK("https://klasma.github.io/Logging_HANINGE_RESERVATSFORSLAG/tillsynsmail/Tyresta naturreservat med skogsbruk tillsynsbegäran mail.docx", "Tyresta naturreservat med skogsbruk")</f>
        <v/>
      </c>
      <c r="AE9">
        <f>HYPERLINK("https://klasma.github.io/Logging_HANINGE_RESERVATSFORSLAG/fåglar/Tyresta naturreservat med skogsbruk prioriterade fågelarter.docx", "Tyresta naturreservat med skogsbruk")</f>
        <v/>
      </c>
    </row>
    <row r="10" ht="15" customHeight="1">
      <c r="A10" t="inlineStr">
        <is>
          <t>Lervassa träsk naturreservat</t>
        </is>
      </c>
      <c r="B10" t="inlineStr">
        <is>
          <t>avverkningsanmälan</t>
        </is>
      </c>
      <c r="D10" s="1" t="n">
        <v>46307</v>
      </c>
      <c r="E10" s="1" t="n">
        <v>46307</v>
      </c>
      <c r="F10" t="inlineStr">
        <is>
          <t>Stockholms län</t>
        </is>
      </c>
      <c r="G10" t="inlineStr">
        <is>
          <t>Haninge</t>
        </is>
      </c>
      <c r="I10" t="n">
        <v>168.3</v>
      </c>
      <c r="J10" t="n">
        <v>21</v>
      </c>
      <c r="K10" t="n">
        <v>19</v>
      </c>
      <c r="L10" t="n">
        <v>27</v>
      </c>
      <c r="M10" t="n">
        <v>8</v>
      </c>
      <c r="N10" t="n">
        <v>2</v>
      </c>
      <c r="O10" t="n">
        <v>0</v>
      </c>
      <c r="P10" t="n">
        <v>0</v>
      </c>
      <c r="Q10" t="n">
        <v>37</v>
      </c>
      <c r="R10" t="n">
        <v>10</v>
      </c>
      <c r="S10" t="n">
        <v>73</v>
      </c>
      <c r="T10" t="n">
        <v>822</v>
      </c>
      <c r="U10" t="n">
        <v>0</v>
      </c>
      <c r="V10" s="2" t="inlineStr">
        <is>
          <t>Knölig taggsvamp
Koppartaggsvamp
Bredbrämad bastardsvärmare
Garnlav
Goliatmusseron
Gränsticka
Grönfink
Mindre bastardsvärmare
Sexfläckig bastardsvärmare
Skrovlig taggsvamp
Barrviolspindling
Blå taggsvamp
Dofttaggsvamp
Dropptaggsvamp
Enkelbeckasin
Fjällig taggsvamp s.str.
Grönhjon
Gulsparv
Kandelabersvamp
Kattfotslav
Kortskaftad ärgspik
Kötticka
Motaggsvamp
Orange taggsvamp
Phellodon aquiloniniger
Reliktbock
Skarp dropptaggsvamp
Svartvit taggsvamp
Tallticka
Talltita
Tjockfotad fingersvamp
Ullticka
Vedskivlav
Vedtrappmossa
Vintertagging
Vitplätt
Vågticka
Björksplintborre
Blomkålssvamp
Blåmossa
Bronshjon
Flagellkvastmossa
Granbarkgnagare
Grovticka
Grön sköldmossa
Grönpyrola
Mindre märgborre
Rödgul trumpetsvamp
Skogshakmossa
Stekelbock
Stor aspticka
Stubbspretmossa
Thomsons trägnagare
Trådticka
Vedticka
Vågbandad barkbock
Blåsippa
Linnea
Spillkråka
Tjäder
Tofsmes
Fiskgjuse
Gröngöling
Havsörn
Kungsfågel
Orre
Huggorm
Kopparödla
Mindre vattensalamander
Vanlig groda
Vanlig padda
Fläcknycklar
Revlummer</t>
        </is>
      </c>
      <c r="W10">
        <f>HYPERLINK("https://klasma.github.io/Logging_HANINGE_RESERVATSFORSLAG/artfynd/Lervassa träsk naturreservat artfynd.xlsx", "Lervassa träsk naturreservat")</f>
        <v/>
      </c>
      <c r="X10">
        <f>HYPERLINK("https://klasma.github.io/Logging_HANINGE_RESERVATSFORSLAG/kartor/Lervassa träsk naturreservat karta.png", "Lervassa träsk naturreservat")</f>
        <v/>
      </c>
      <c r="Y10">
        <f>HYPERLINK("https://klasma.github.io/Logging_HANINGE_RESERVATSFORSLAG/kartor_geotiff/Lervassa träsk naturreservat georefererad karta.tif", "Lervassa träsk naturreservat")</f>
        <v/>
      </c>
      <c r="AA10">
        <f>HYPERLINK("https://klasma.github.io/Logging_HANINGE_RESERVATSFORSLAG/klagomål/Lervassa träsk naturreservat FSC-klagomål.docx", "Lervassa träsk naturreservat")</f>
        <v/>
      </c>
      <c r="AB10">
        <f>HYPERLINK("https://klasma.github.io/Logging_HANINGE_RESERVATSFORSLAG/klagomålsmail/Lervassa träsk naturreservat FSC-klagomål mail.docx", "Lervassa träsk naturreservat")</f>
        <v/>
      </c>
      <c r="AC10">
        <f>HYPERLINK("https://klasma.github.io/Logging_HANINGE_RESERVATSFORSLAG/tillsyn/Lervassa träsk naturreservat tillsynsbegäran.docx", "Lervassa träsk naturreservat")</f>
        <v/>
      </c>
      <c r="AD10">
        <f>HYPERLINK("https://klasma.github.io/Logging_HANINGE_RESERVATSFORSLAG/tillsynsmail/Lervassa träsk naturreservat tillsynsbegäran mail.docx", "Lervassa träsk naturreservat")</f>
        <v/>
      </c>
      <c r="AE10">
        <f>HYPERLINK("https://klasma.github.io/Logging_HANINGE_RESERVATSFORSLAG/fåglar/Lervassa träsk naturreservat prioriterade fågelarter.docx", "Lervassa träsk naturreservat")</f>
        <v/>
      </c>
    </row>
    <row r="11" ht="15" customHeight="1">
      <c r="A11" t="inlineStr">
        <is>
          <t>Norra skogen</t>
        </is>
      </c>
      <c r="B11" t="inlineStr">
        <is>
          <t>avverkningsanmälan</t>
        </is>
      </c>
      <c r="D11" s="1" t="n">
        <v>46307</v>
      </c>
      <c r="E11" s="1" t="n">
        <v>46307</v>
      </c>
      <c r="F11" t="inlineStr">
        <is>
          <t>Stockholms län</t>
        </is>
      </c>
      <c r="G11" t="inlineStr">
        <is>
          <t>Haninge</t>
        </is>
      </c>
      <c r="I11" t="n">
        <v>403.2</v>
      </c>
      <c r="J11" t="n">
        <v>26</v>
      </c>
      <c r="K11" t="n">
        <v>25</v>
      </c>
      <c r="L11" t="n">
        <v>26</v>
      </c>
      <c r="M11" t="n">
        <v>3</v>
      </c>
      <c r="N11" t="n">
        <v>1</v>
      </c>
      <c r="O11" t="n">
        <v>0</v>
      </c>
      <c r="P11" t="n">
        <v>0</v>
      </c>
      <c r="Q11" t="n">
        <v>30</v>
      </c>
      <c r="R11" t="n">
        <v>4</v>
      </c>
      <c r="S11" t="n">
        <v>70</v>
      </c>
      <c r="T11" t="n">
        <v>427</v>
      </c>
      <c r="U11" t="n">
        <v>0</v>
      </c>
      <c r="V11" s="2" t="inlineStr">
        <is>
          <t>Ejder
Grangråticka
Gråtrut
Rotfingersvamp
Dofttaggsvamp
Drillsnäppa
Dropptaggsvamp
Fjällig taggsvamp s.str.
Flattoppad klubbsvamp
Fyrflikig jordstjärna
Grantaggsvamp
Grönhjon
Gulsparv
Jungfrulin
Kandelabersvamp
Kattfotslav
Kricka
Mindre hackspett
Motaggsvamp
Orange taggsvamp
Reliktbock
Silltrut
Skarp dropptaggsvamp
Sädesärla
Såpfingersvamp
Sårläka
Tallticka
Ullticka
Vedskivlav
Vedtrappmossa
Barkticka
Björksplintborre
Blodticka
Blomkålssvamp
Blåmossa
Bronshjon
Granbarkgnagare
Grovticka
Grönpyrola
Jättesvampmal
Korallrot
Mindre märgborre
Platt fjädermossa
Rödgul trumpetsvamp
Skogsknipprot
Stor aspticka
Strutbräken
Stubbspretmossa
Svavelriska
Trådticka
Tvåblad
Vedticka
Västlig hakmossa
Vågbandad barkbock
Zontaggsvamp
Blåsippa
Nattskärra
Spillkråka
Tjäder
Fiskgjuse
Gröngöling
Grönsiska
Havsörn
Kungsfågel
Orre
Svartvit flugsnappare
Trana
Törnskata
Fläcknycklar
Gullviva</t>
        </is>
      </c>
      <c r="W11">
        <f>HYPERLINK("https://klasma.github.io/Logging_HANINGE_RESERVATSFORSLAG/artfynd/Norra skogen artfynd.xlsx", "Norra skogen")</f>
        <v/>
      </c>
      <c r="X11">
        <f>HYPERLINK("https://klasma.github.io/Logging_HANINGE_RESERVATSFORSLAG/kartor/Norra skogen karta.png", "Norra skogen")</f>
        <v/>
      </c>
      <c r="Y11">
        <f>HYPERLINK("https://klasma.github.io/Logging_HANINGE_RESERVATSFORSLAG/kartor_geotiff/Norra skogen georefererad karta.tif", "Norra skogen")</f>
        <v/>
      </c>
      <c r="AA11">
        <f>HYPERLINK("https://klasma.github.io/Logging_HANINGE_RESERVATSFORSLAG/klagomål/Norra skogen FSC-klagomål.docx", "Norra skogen")</f>
        <v/>
      </c>
      <c r="AB11">
        <f>HYPERLINK("https://klasma.github.io/Logging_HANINGE_RESERVATSFORSLAG/klagomålsmail/Norra skogen FSC-klagomål mail.docx", "Norra skogen")</f>
        <v/>
      </c>
      <c r="AC11">
        <f>HYPERLINK("https://klasma.github.io/Logging_HANINGE_RESERVATSFORSLAG/tillsyn/Norra skogen tillsynsbegäran.docx", "Norra skogen")</f>
        <v/>
      </c>
      <c r="AD11">
        <f>HYPERLINK("https://klasma.github.io/Logging_HANINGE_RESERVATSFORSLAG/tillsynsmail/Norra skogen tillsynsbegäran mail.docx", "Norra skogen")</f>
        <v/>
      </c>
      <c r="AE11">
        <f>HYPERLINK("https://klasma.github.io/Logging_HANINGE_RESERVATSFORSLAG/fåglar/Norra skogen prioriterade fågelarter.docx", "Norra skogen")</f>
        <v/>
      </c>
    </row>
    <row r="12" ht="15" customHeight="1">
      <c r="A12" t="inlineStr">
        <is>
          <t>Örans naturreservat</t>
        </is>
      </c>
      <c r="B12" t="inlineStr">
        <is>
          <t>avverkningsanmälan</t>
        </is>
      </c>
      <c r="D12" s="1" t="n">
        <v>46307</v>
      </c>
      <c r="E12" s="1" t="n">
        <v>46307</v>
      </c>
      <c r="F12" t="inlineStr">
        <is>
          <t>Stockholms län</t>
        </is>
      </c>
      <c r="G12" t="inlineStr">
        <is>
          <t>Haninge</t>
        </is>
      </c>
      <c r="I12" t="n">
        <v>659.9</v>
      </c>
      <c r="J12" t="n">
        <v>37</v>
      </c>
      <c r="K12" t="n">
        <v>12</v>
      </c>
      <c r="L12" t="n">
        <v>21</v>
      </c>
      <c r="M12" t="n">
        <v>11</v>
      </c>
      <c r="N12" t="n">
        <v>0</v>
      </c>
      <c r="O12" t="n">
        <v>0</v>
      </c>
      <c r="P12" t="n">
        <v>0</v>
      </c>
      <c r="Q12" t="n">
        <v>32</v>
      </c>
      <c r="R12" t="n">
        <v>11</v>
      </c>
      <c r="S12" t="n">
        <v>66</v>
      </c>
      <c r="T12" t="n">
        <v>111</v>
      </c>
      <c r="U12" t="n">
        <v>0</v>
      </c>
      <c r="V12" s="2" t="inlineStr">
        <is>
          <t>Brunfläckig pärlemorfjäril
Garnlav
Gränsticka
Gråtrut
Grönfink
Hussvala
Igelkott
Raggbock
Ryl
Stare
Tornseglare
Berggräsfjäril
Björktrast
Borsttåg
Dofttaggsvamp
Entita
Grönsångare
Gulsparv
Göktyta
Järnsparv
Kattfotslav
Kolflarnlav
Krusfrö
Ladusvala
Mindre tåtelsmygare
Motaggsvamp
Oxtungssvamp
Sädesärla
Tallticka
Talltita
Vedtrappmossa
Vintertagging
Blåmossa
Grov fjädermossa
Grovticka
Gräsull
Grön sköldmossa
Grönpyrola
Guldlockmossa
Mindre märgborre
Platt fjädermossa
Rostfläck
Spindelbock
Vedticka
Mattlummer
Spillkråka
Stjärtmes
Tofsmes
Gröngöling
Grönsiska
Kråka
Kungsfågel
Näktergal
Pudrad kärrtrollslända
Svartvit flugsnappare
Sångsvan
Trana
Trädlärka
Ärtsångare
Åkergroda
Huggorm
Kopparödla
Mindre vattensalamander
Vanlig groda
Fläcknycklar
Revlummer</t>
        </is>
      </c>
      <c r="W12">
        <f>HYPERLINK("https://klasma.github.io/Logging_HANINGE_RESERVATSFORSLAG/artfynd/Örans naturreservat artfynd.xlsx", "Örans naturreservat")</f>
        <v/>
      </c>
      <c r="X12">
        <f>HYPERLINK("https://klasma.github.io/Logging_HANINGE_RESERVATSFORSLAG/kartor/Örans naturreservat karta.png", "Örans naturreservat")</f>
        <v/>
      </c>
      <c r="Y12">
        <f>HYPERLINK("https://klasma.github.io/Logging_HANINGE_RESERVATSFORSLAG/kartor_geotiff/Örans naturreservat georefererad karta.tif", "Örans naturreservat")</f>
        <v/>
      </c>
      <c r="AA12">
        <f>HYPERLINK("https://klasma.github.io/Logging_HANINGE_RESERVATSFORSLAG/klagomål/Örans naturreservat FSC-klagomål.docx", "Örans naturreservat")</f>
        <v/>
      </c>
      <c r="AB12">
        <f>HYPERLINK("https://klasma.github.io/Logging_HANINGE_RESERVATSFORSLAG/klagomålsmail/Örans naturreservat FSC-klagomål mail.docx", "Örans naturreservat")</f>
        <v/>
      </c>
      <c r="AC12">
        <f>HYPERLINK("https://klasma.github.io/Logging_HANINGE_RESERVATSFORSLAG/tillsyn/Örans naturreservat tillsynsbegäran.docx", "Örans naturreservat")</f>
        <v/>
      </c>
      <c r="AD12">
        <f>HYPERLINK("https://klasma.github.io/Logging_HANINGE_RESERVATSFORSLAG/tillsynsmail/Örans naturreservat tillsynsbegäran mail.docx", "Örans naturreservat")</f>
        <v/>
      </c>
      <c r="AE12">
        <f>HYPERLINK("https://klasma.github.io/Logging_HANINGE_RESERVATSFORSLAG/fåglar/Örans naturreservat prioriterade fågelarter.docx", "Örans naturreservat")</f>
        <v/>
      </c>
    </row>
    <row r="13" ht="15" customHeight="1">
      <c r="A13" t="inlineStr">
        <is>
          <t>Norrbyskogens naturreservat</t>
        </is>
      </c>
      <c r="B13" t="inlineStr">
        <is>
          <t>avverkningsanmälan</t>
        </is>
      </c>
      <c r="D13" s="1" t="n">
        <v>46307</v>
      </c>
      <c r="E13" s="1" t="n">
        <v>46307</v>
      </c>
      <c r="F13" t="inlineStr">
        <is>
          <t>Stockholms län</t>
        </is>
      </c>
      <c r="G13" t="inlineStr">
        <is>
          <t>Haninge</t>
        </is>
      </c>
      <c r="I13" t="n">
        <v>85.59999999999999</v>
      </c>
      <c r="J13" t="n">
        <v>19</v>
      </c>
      <c r="K13" t="n">
        <v>25</v>
      </c>
      <c r="L13" t="n">
        <v>16</v>
      </c>
      <c r="M13" t="n">
        <v>4</v>
      </c>
      <c r="N13" t="n">
        <v>0</v>
      </c>
      <c r="O13" t="n">
        <v>0</v>
      </c>
      <c r="P13" t="n">
        <v>0</v>
      </c>
      <c r="Q13" t="n">
        <v>20</v>
      </c>
      <c r="R13" t="n">
        <v>4</v>
      </c>
      <c r="S13" t="n">
        <v>57</v>
      </c>
      <c r="T13" t="n">
        <v>169</v>
      </c>
      <c r="U13" t="n">
        <v>0</v>
      </c>
      <c r="V13" s="2" t="inlineStr">
        <is>
          <t>Fläckfingersvamp
Gränsticka
Grönfink
Solfingersvamp
Brunlångöra
Duvhök
Fjällig taggsvamp s.str.
Gullmurkling
Gullpudra
Järnsparv
Kandelabersvamp
Loppstarr
Mindre träfjäril
Motaggsvamp
Nordfladdermus
Tallticka
Talltita
Ullticka
Vågticka
Älg
Aspvedgnagare
Björksplintborre
Blomkålssvamp
Brandticka
Granbarkgnagare
Grön sköldmossa
Jättesvampmal
Mindre märgborre
Mörk husmossa
Noshornsoxe
Praktscharlakansskål
Rävticka
Rödgul trumpetsvamp
Skogsbräsma
Skogshakmossa
Stekelbock
Stubbspretmossa
Större träfjäril
Trubbfjädermossa
Trådticka
Vedticka
Västlig hakmossa
Vätteros
Vågbandad barkbock
Zontaggsvamp
Blåsippa
Mattlummer
Spillkråka
Tallbit
Dvärgpipistrell
Gröngöling
Grönsiska
Kungsfågel
Vattenfladdermus
Åkergroda
Vanlig groda
Revlummer</t>
        </is>
      </c>
      <c r="W13">
        <f>HYPERLINK("https://klasma.github.io/Logging_HANINGE_RESERVATSFORSLAG/artfynd/Norrbyskogens naturreservat artfynd.xlsx", "Norrbyskogens naturreservat")</f>
        <v/>
      </c>
      <c r="X13">
        <f>HYPERLINK("https://klasma.github.io/Logging_HANINGE_RESERVATSFORSLAG/kartor/Norrbyskogens naturreservat karta.png", "Norrbyskogens naturreservat")</f>
        <v/>
      </c>
      <c r="Y13">
        <f>HYPERLINK("https://klasma.github.io/Logging_HANINGE_RESERVATSFORSLAG/kartor_geotiff/Norrbyskogens naturreservat georefererad karta.tif", "Norrbyskogens naturreservat")</f>
        <v/>
      </c>
      <c r="AA13">
        <f>HYPERLINK("https://klasma.github.io/Logging_HANINGE_RESERVATSFORSLAG/klagomål/Norrbyskogens naturreservat FSC-klagomål.docx", "Norrbyskogens naturreservat")</f>
        <v/>
      </c>
      <c r="AB13">
        <f>HYPERLINK("https://klasma.github.io/Logging_HANINGE_RESERVATSFORSLAG/klagomålsmail/Norrbyskogens naturreservat FSC-klagomål mail.docx", "Norrbyskogens naturreservat")</f>
        <v/>
      </c>
      <c r="AC13">
        <f>HYPERLINK("https://klasma.github.io/Logging_HANINGE_RESERVATSFORSLAG/tillsyn/Norrbyskogens naturreservat tillsynsbegäran.docx", "Norrbyskogens naturreservat")</f>
        <v/>
      </c>
      <c r="AD13">
        <f>HYPERLINK("https://klasma.github.io/Logging_HANINGE_RESERVATSFORSLAG/tillsynsmail/Norrbyskogens naturreservat tillsynsbegäran mail.docx", "Norrbyskogens naturreservat")</f>
        <v/>
      </c>
      <c r="AE13">
        <f>HYPERLINK("https://klasma.github.io/Logging_HANINGE_RESERVATSFORSLAG/fåglar/Norrbyskogens naturreservat prioriterade fågelarter.docx", "Norrbyskogens naturreservat")</f>
        <v/>
      </c>
    </row>
    <row r="14" ht="15" customHeight="1">
      <c r="A14" t="inlineStr">
        <is>
          <t>Norr om Norra skogens naturreservat</t>
        </is>
      </c>
      <c r="B14" t="inlineStr">
        <is>
          <t>avverkningsanmälan</t>
        </is>
      </c>
      <c r="D14" s="1" t="n">
        <v>46307</v>
      </c>
      <c r="E14" s="1" t="n">
        <v>46307</v>
      </c>
      <c r="F14" t="inlineStr">
        <is>
          <t>Stockholms län</t>
        </is>
      </c>
      <c r="G14" t="inlineStr">
        <is>
          <t>Haninge</t>
        </is>
      </c>
      <c r="I14" t="n">
        <v>135.3</v>
      </c>
      <c r="J14" t="n">
        <v>14</v>
      </c>
      <c r="K14" t="n">
        <v>26</v>
      </c>
      <c r="L14" t="n">
        <v>17</v>
      </c>
      <c r="M14" t="n">
        <v>1</v>
      </c>
      <c r="N14" t="n">
        <v>0</v>
      </c>
      <c r="O14" t="n">
        <v>0</v>
      </c>
      <c r="P14" t="n">
        <v>0</v>
      </c>
      <c r="Q14" t="n">
        <v>19</v>
      </c>
      <c r="R14" t="n">
        <v>1</v>
      </c>
      <c r="S14" t="n">
        <v>54</v>
      </c>
      <c r="T14" t="n">
        <v>231</v>
      </c>
      <c r="U14" t="n">
        <v>0</v>
      </c>
      <c r="V14" s="2" t="inlineStr">
        <is>
          <t>Knärot
Dofttaggsvamp
Dropptaggsvamp
Fyrflikig jordstjärna
Grönhjon
Gullklöver
Hängticka
Kortskaftad ärgspik
Motaggsvamp
Reliktbock
Rynkskinn
Sårläka
Tallticka
Talltita
Vaddporing
Vedskivlav
Vedtrappmossa
Älg
Porodaedalea chrysoloma
Barkticka
Björksplintborre
Blomkålssvamp
Blåmossa
Bronshjon
Flagellkvastmossa
Granbarkgnagare
Grovticka
Grön sköldmossa
Grönpyrola
Jättesvampmal
Kornknutmossa
Mindre märgborre
Nästrot
Rödgul trumpetsvamp
Skogsknipprot
Stor aspticka
Stor revmossa
Stubbspretmossa
Större träfjäril
Svavelriska
Thomsons trägnagare
Vedticka
Vågbandad barkbock
Zontaggsvamp
Åttafläckig praktbagge
Blåsippa
Mattlummer
Spillkråka
Tjäder
Huggorm
Vanlig padda
Fläcknycklar
Gullviva
Revlummer</t>
        </is>
      </c>
      <c r="W14">
        <f>HYPERLINK("https://klasma.github.io/Logging_HANINGE_RESERVATSFORSLAG/artfynd/Norr om Norra skogens naturreservat artfynd.xlsx", "Norr om Norra skogens naturreservat")</f>
        <v/>
      </c>
      <c r="X14">
        <f>HYPERLINK("https://klasma.github.io/Logging_HANINGE_RESERVATSFORSLAG/kartor/Norr om Norra skogens naturreservat karta.png", "Norr om Norra skogens naturreservat")</f>
        <v/>
      </c>
      <c r="Y14">
        <f>HYPERLINK("https://klasma.github.io/Logging_HANINGE_RESERVATSFORSLAG/kartor_geotiff/Norr om Norra skogens naturreservat georefererad karta.tif", "Norr om Norra skogens naturreservat")</f>
        <v/>
      </c>
      <c r="Z14">
        <f>HYPERLINK("https://klasma.github.io/Logging_HANINGE_RESERVATSFORSLAG/knärot/Norr om Norra skogens naturreservat karta knärot.png", "Norr om Norra skogens naturreservat")</f>
        <v/>
      </c>
      <c r="AA14">
        <f>HYPERLINK("https://klasma.github.io/Logging_HANINGE_RESERVATSFORSLAG/klagomål/Norr om Norra skogens naturreservat FSC-klagomål.docx", "Norr om Norra skogens naturreservat")</f>
        <v/>
      </c>
      <c r="AB14">
        <f>HYPERLINK("https://klasma.github.io/Logging_HANINGE_RESERVATSFORSLAG/klagomålsmail/Norr om Norra skogens naturreservat FSC-klagomål mail.docx", "Norr om Norra skogens naturreservat")</f>
        <v/>
      </c>
      <c r="AC14">
        <f>HYPERLINK("https://klasma.github.io/Logging_HANINGE_RESERVATSFORSLAG/tillsyn/Norr om Norra skogens naturreservat tillsynsbegäran.docx", "Norr om Norra skogens naturreservat")</f>
        <v/>
      </c>
      <c r="AD14">
        <f>HYPERLINK("https://klasma.github.io/Logging_HANINGE_RESERVATSFORSLAG/tillsynsmail/Norr om Norra skogens naturreservat tillsynsbegäran mail.docx", "Norr om Norra skogens naturreservat")</f>
        <v/>
      </c>
      <c r="AE14">
        <f>HYPERLINK("https://klasma.github.io/Logging_HANINGE_RESERVATSFORSLAG/fåglar/Norr om Norra skogens naturreservat prioriterade fågelarter.docx", "Norr om Norra skogens naturreservat")</f>
        <v/>
      </c>
    </row>
    <row r="15" ht="15" customHeight="1">
      <c r="A15" t="inlineStr">
        <is>
          <t>Norrbytorps naturreservat söder</t>
        </is>
      </c>
      <c r="B15" t="inlineStr">
        <is>
          <t>avverkningsanmälan</t>
        </is>
      </c>
      <c r="D15" s="1" t="n">
        <v>46307</v>
      </c>
      <c r="E15" s="1" t="n">
        <v>46307</v>
      </c>
      <c r="F15" t="inlineStr">
        <is>
          <t>Stockholms län</t>
        </is>
      </c>
      <c r="G15" t="inlineStr">
        <is>
          <t>Haninge</t>
        </is>
      </c>
      <c r="I15" t="n">
        <v>128</v>
      </c>
      <c r="J15" t="n">
        <v>20</v>
      </c>
      <c r="K15" t="n">
        <v>8</v>
      </c>
      <c r="L15" t="n">
        <v>20</v>
      </c>
      <c r="M15" t="n">
        <v>8</v>
      </c>
      <c r="N15" t="n">
        <v>1</v>
      </c>
      <c r="O15" t="n">
        <v>0</v>
      </c>
      <c r="P15" t="n">
        <v>0</v>
      </c>
      <c r="Q15" t="n">
        <v>29</v>
      </c>
      <c r="R15" t="n">
        <v>9</v>
      </c>
      <c r="S15" t="n">
        <v>51</v>
      </c>
      <c r="T15" t="n">
        <v>314</v>
      </c>
      <c r="U15" t="n">
        <v>0</v>
      </c>
      <c r="V15" s="2" t="inlineStr">
        <is>
          <t>Hornuggla
Brunfläckig pärlemorfjäril
Garnlav
Goliatmusseron
Igelkott
Jättemusseron
Knärot
Lakritsmusseron
Skrovlig taggsvamp
Adam och eva
Apelsinticka
Blå taggsvamp
Brunklöver
Dofttaggsvamp
Dropptaggsvamp
Gullklöver
Krusfrö
Motaggsvamp
Orange taggsvamp
Skogshare
Skogsklocka
Svartvit taggsvamp
Tallkötticka
Tallriska
Tallticka
Talltita
Tjockfotad fingersvamp
Ullticka
Vintertagging
Blodticka
Blåmossa
Grovticka
Grön sköldmossa
Grönpyrola
Mindre märgborre
Plattlummer
Vedticka
Blåsippa
Mattlummer
Nattskärra
Spillkråka
Tallbit
Tofsmes
Havsörn
Kungsfågel
Huggorm
Vanlig padda
Fläcknycklar
Nattviol
Lopplummer (aggregat)
Äkta lopplummer</t>
        </is>
      </c>
      <c r="W15">
        <f>HYPERLINK("https://klasma.github.io/Logging_HANINGE_RESERVATSFORSLAG/artfynd/Norrbytorps naturreservat söder artfynd.xlsx", "Norrbytorps naturreservat söder")</f>
        <v/>
      </c>
      <c r="X15">
        <f>HYPERLINK("https://klasma.github.io/Logging_HANINGE_RESERVATSFORSLAG/kartor/Norrbytorps naturreservat söder karta.png", "Norrbytorps naturreservat söder")</f>
        <v/>
      </c>
      <c r="Y15">
        <f>HYPERLINK("https://klasma.github.io/Logging_HANINGE_RESERVATSFORSLAG/kartor_geotiff/Norrbytorps naturreservat söder georefererad karta.tif", "Norrbytorps naturreservat söder")</f>
        <v/>
      </c>
      <c r="Z15">
        <f>HYPERLINK("https://klasma.github.io/Logging_HANINGE_RESERVATSFORSLAG/knärot/Norrbytorps naturreservat söder karta knärot.png", "Norrbytorps naturreservat söder")</f>
        <v/>
      </c>
      <c r="AA15">
        <f>HYPERLINK("https://klasma.github.io/Logging_HANINGE_RESERVATSFORSLAG/klagomål/Norrbytorps naturreservat söder FSC-klagomål.docx", "Norrbytorps naturreservat söder")</f>
        <v/>
      </c>
      <c r="AB15">
        <f>HYPERLINK("https://klasma.github.io/Logging_HANINGE_RESERVATSFORSLAG/klagomålsmail/Norrbytorps naturreservat söder FSC-klagomål mail.docx", "Norrbytorps naturreservat söder")</f>
        <v/>
      </c>
      <c r="AC15">
        <f>HYPERLINK("https://klasma.github.io/Logging_HANINGE_RESERVATSFORSLAG/tillsyn/Norrbytorps naturreservat söder tillsynsbegäran.docx", "Norrbytorps naturreservat söder")</f>
        <v/>
      </c>
      <c r="AD15">
        <f>HYPERLINK("https://klasma.github.io/Logging_HANINGE_RESERVATSFORSLAG/tillsynsmail/Norrbytorps naturreservat söder tillsynsbegäran mail.docx", "Norrbytorps naturreservat söder")</f>
        <v/>
      </c>
      <c r="AE15">
        <f>HYPERLINK("https://klasma.github.io/Logging_HANINGE_RESERVATSFORSLAG/fåglar/Norrbytorps naturreservat söder prioriterade fågelarter.docx", "Norrbytorps naturreservat söder")</f>
        <v/>
      </c>
    </row>
    <row r="16" ht="15" customHeight="1">
      <c r="A16" t="inlineStr">
        <is>
          <t>Tutvikskogens naturreservat</t>
        </is>
      </c>
      <c r="B16" t="inlineStr">
        <is>
          <t>avverkningsanmälan</t>
        </is>
      </c>
      <c r="D16" s="1" t="n">
        <v>46307</v>
      </c>
      <c r="E16" s="1" t="n">
        <v>46307</v>
      </c>
      <c r="F16" t="inlineStr">
        <is>
          <t>Stockholms län</t>
        </is>
      </c>
      <c r="G16" t="inlineStr">
        <is>
          <t>Haninge</t>
        </is>
      </c>
      <c r="I16" t="n">
        <v>194.2</v>
      </c>
      <c r="J16" t="n">
        <v>14</v>
      </c>
      <c r="K16" t="n">
        <v>14</v>
      </c>
      <c r="L16" t="n">
        <v>16</v>
      </c>
      <c r="M16" t="n">
        <v>9</v>
      </c>
      <c r="N16" t="n">
        <v>0</v>
      </c>
      <c r="O16" t="n">
        <v>0</v>
      </c>
      <c r="P16" t="n">
        <v>0</v>
      </c>
      <c r="Q16" t="n">
        <v>25</v>
      </c>
      <c r="R16" t="n">
        <v>9</v>
      </c>
      <c r="S16" t="n">
        <v>49</v>
      </c>
      <c r="T16" t="n">
        <v>352</v>
      </c>
      <c r="U16" t="n">
        <v>0</v>
      </c>
      <c r="V16" s="2" t="inlineStr">
        <is>
          <t>Garnlav
Goliatmusseron
Gul taggsvamp
Jättemusseron
Knärot
Lakritsmusseron
Ramaria neoformosa
Ryl
Skrovlig taggsvamp
Blå taggsvamp
Dropptaggsvamp
Dvärgbägarlav
Jungfrulin
Kötticka
Motaggsvamp
Orange taggsvamp
Svartvit taggsvamp
Tallkötticka
Tallticka
Talltita
Tjockfotad fingersvamp
Ullticka
Vedskivlav
Vintertagging
Älg
Björksplintborre
Blodticka
Blomkålssvamp
Blåmossa
Flagellkvastmossa
Granbarkgnagare
Grovticka
Grön sköldmossa
Grönpyrola
Mindre märgborre
Plattlummer
Vedticka
Västlig hakmossa
Vågbandad barkbock
Mattlummer
Spillkråka
Tjäder
Kungsfågel
Huggorm
Kopparödla
Vanlig padda
Vanlig snok
Fläcknycklar
Revlummer</t>
        </is>
      </c>
      <c r="W16">
        <f>HYPERLINK("https://klasma.github.io/Logging_HANINGE_RESERVATSFORSLAG/artfynd/Tutvikskogens naturreservat artfynd.xlsx", "Tutvikskogens naturreservat")</f>
        <v/>
      </c>
      <c r="X16">
        <f>HYPERLINK("https://klasma.github.io/Logging_HANINGE_RESERVATSFORSLAG/kartor/Tutvikskogens naturreservat karta.png", "Tutvikskogens naturreservat")</f>
        <v/>
      </c>
      <c r="Y16">
        <f>HYPERLINK("https://klasma.github.io/Logging_HANINGE_RESERVATSFORSLAG/kartor_geotiff/Tutvikskogens naturreservat georefererad karta.tif", "Tutvikskogens naturreservat")</f>
        <v/>
      </c>
      <c r="Z16">
        <f>HYPERLINK("https://klasma.github.io/Logging_HANINGE_RESERVATSFORSLAG/knärot/Tutvikskogens naturreservat karta knärot.png", "Tutvikskogens naturreservat")</f>
        <v/>
      </c>
      <c r="AA16">
        <f>HYPERLINK("https://klasma.github.io/Logging_HANINGE_RESERVATSFORSLAG/klagomål/Tutvikskogens naturreservat FSC-klagomål.docx", "Tutvikskogens naturreservat")</f>
        <v/>
      </c>
      <c r="AB16">
        <f>HYPERLINK("https://klasma.github.io/Logging_HANINGE_RESERVATSFORSLAG/klagomålsmail/Tutvikskogens naturreservat FSC-klagomål mail.docx", "Tutvikskogens naturreservat")</f>
        <v/>
      </c>
      <c r="AC16">
        <f>HYPERLINK("https://klasma.github.io/Logging_HANINGE_RESERVATSFORSLAG/tillsyn/Tutvikskogens naturreservat tillsynsbegäran.docx", "Tutvikskogens naturreservat")</f>
        <v/>
      </c>
      <c r="AD16">
        <f>HYPERLINK("https://klasma.github.io/Logging_HANINGE_RESERVATSFORSLAG/tillsynsmail/Tutvikskogens naturreservat tillsynsbegäran mail.docx", "Tutvikskogens naturreservat")</f>
        <v/>
      </c>
      <c r="AE16">
        <f>HYPERLINK("https://klasma.github.io/Logging_HANINGE_RESERVATSFORSLAG/fåglar/Tutvikskogens naturreservat prioriterade fågelarter.docx", "Tutvikskogens naturreservat")</f>
        <v/>
      </c>
    </row>
    <row r="17" ht="15" customHeight="1">
      <c r="A17" t="inlineStr">
        <is>
          <t>Kapellöns naturreservat</t>
        </is>
      </c>
      <c r="B17" t="inlineStr">
        <is>
          <t>avverkningsanmälan</t>
        </is>
      </c>
      <c r="D17" s="1" t="n">
        <v>46307</v>
      </c>
      <c r="E17" s="1" t="n">
        <v>46307</v>
      </c>
      <c r="F17" t="inlineStr">
        <is>
          <t>Stockholms län</t>
        </is>
      </c>
      <c r="G17" t="inlineStr">
        <is>
          <t>Haninge</t>
        </is>
      </c>
      <c r="H17" t="inlineStr">
        <is>
          <t>Övriga statliga verk och myndigheter</t>
        </is>
      </c>
      <c r="I17" t="n">
        <v>107</v>
      </c>
      <c r="J17" t="n">
        <v>4</v>
      </c>
      <c r="K17" t="n">
        <v>24</v>
      </c>
      <c r="L17" t="n">
        <v>7</v>
      </c>
      <c r="M17" t="n">
        <v>0</v>
      </c>
      <c r="N17" t="n">
        <v>1</v>
      </c>
      <c r="O17" t="n">
        <v>0</v>
      </c>
      <c r="P17" t="n">
        <v>0</v>
      </c>
      <c r="Q17" t="n">
        <v>8</v>
      </c>
      <c r="R17" t="n">
        <v>1</v>
      </c>
      <c r="S17" t="n">
        <v>34</v>
      </c>
      <c r="T17" t="n">
        <v>68</v>
      </c>
      <c r="U17" t="n">
        <v>0</v>
      </c>
      <c r="V17" s="2" t="inlineStr">
        <is>
          <t>Ask
Gullklöver
Jungfrulin
Skogssvingel
Sårläka
Tallticka
Vårärt
Ålgräs
Blek stjärnmossa
Bårdlav
Fällmossa
Grov baronmossa
Guldlockmossa
Hässleklocka
Klippfrullania
Korallblylav
Lönnlav
Myskmadra
Mörk husmossa
Nästrot
Platt fjädermossa
Stor aspticka
Stor revmossa
Strävlosta
Stubbspretmossa
Svart trolldruva
Traslav
Trubbfjädermossa
Trädporella
Tvåblad
Underviol
Västlig hakmossa
Blåsippa
Gullviva</t>
        </is>
      </c>
      <c r="W17">
        <f>HYPERLINK("https://klasma.github.io/Logging_HANINGE_RESERVATSFORSLAG/artfynd/Kapellöns naturreservat artfynd.xlsx", "Kapellöns naturreservat")</f>
        <v/>
      </c>
      <c r="X17">
        <f>HYPERLINK("https://klasma.github.io/Logging_HANINGE_RESERVATSFORSLAG/kartor/Kapellöns naturreservat karta.png", "Kapellöns naturreservat")</f>
        <v/>
      </c>
      <c r="Y17">
        <f>HYPERLINK("https://klasma.github.io/Logging_HANINGE_RESERVATSFORSLAG/kartor_geotiff/Kapellöns naturreservat georefererad karta.tif", "Kapellöns naturreservat")</f>
        <v/>
      </c>
      <c r="AA17">
        <f>HYPERLINK("https://klasma.github.io/Logging_HANINGE_RESERVATSFORSLAG/klagomål/Kapellöns naturreservat FSC-klagomål.docx", "Kapellöns naturreservat")</f>
        <v/>
      </c>
      <c r="AB17">
        <f>HYPERLINK("https://klasma.github.io/Logging_HANINGE_RESERVATSFORSLAG/klagomålsmail/Kapellöns naturreservat FSC-klagomål mail.docx", "Kapellöns naturreservat")</f>
        <v/>
      </c>
      <c r="AC17">
        <f>HYPERLINK("https://klasma.github.io/Logging_HANINGE_RESERVATSFORSLAG/tillsyn/Kapellöns naturreservat tillsynsbegäran.docx", "Kapellöns naturreservat")</f>
        <v/>
      </c>
      <c r="AD17">
        <f>HYPERLINK("https://klasma.github.io/Logging_HANINGE_RESERVATSFORSLAG/tillsynsmail/Kapellöns naturreservat tillsynsbegäran mail.docx", "Kapellöns naturreservat")</f>
        <v/>
      </c>
    </row>
    <row r="18" ht="15" customHeight="1">
      <c r="A18" t="inlineStr">
        <is>
          <t>Söderbyskogens naturreservat</t>
        </is>
      </c>
      <c r="B18" t="inlineStr">
        <is>
          <t>avverkningsanmälan</t>
        </is>
      </c>
      <c r="D18" s="1" t="n">
        <v>46307</v>
      </c>
      <c r="E18" s="1" t="n">
        <v>46307</v>
      </c>
      <c r="F18" t="inlineStr">
        <is>
          <t>Stockholms län</t>
        </is>
      </c>
      <c r="G18" t="inlineStr">
        <is>
          <t>Haninge</t>
        </is>
      </c>
      <c r="H18" t="inlineStr">
        <is>
          <t>Kommuner</t>
        </is>
      </c>
      <c r="I18" t="n">
        <v>16.8</v>
      </c>
      <c r="J18" t="n">
        <v>4</v>
      </c>
      <c r="K18" t="n">
        <v>15</v>
      </c>
      <c r="L18" t="n">
        <v>6</v>
      </c>
      <c r="M18" t="n">
        <v>0</v>
      </c>
      <c r="N18" t="n">
        <v>0</v>
      </c>
      <c r="O18" t="n">
        <v>0</v>
      </c>
      <c r="P18" t="n">
        <v>0</v>
      </c>
      <c r="Q18" t="n">
        <v>6</v>
      </c>
      <c r="R18" t="n">
        <v>0</v>
      </c>
      <c r="S18" t="n">
        <v>24</v>
      </c>
      <c r="T18" t="n">
        <v>93</v>
      </c>
      <c r="U18" t="n">
        <v>0</v>
      </c>
      <c r="V18" s="2" t="inlineStr">
        <is>
          <t>Fjällig taggsvamp s.str.
Jungfrulin
Motaggsvamp
Tallticka
Ullticka
Älg
Barkticka
Blomkålssvamp
Blåmossa
Blåsfliksmossa
Bronshjon
Granbarkgnagare
Grovticka
Jättesvampmal
Lönnlav
Mindre märgborre
Skogsknipprot
Stenporella
Trådticka
Vedticka
Vågbandad barkbock
Blåsippa
Spillkråka
Kungsfågel</t>
        </is>
      </c>
      <c r="W18">
        <f>HYPERLINK("https://klasma.github.io/Logging_HANINGE_RESERVATSFORSLAG/artfynd/Söderbyskogens naturreservat artfynd.xlsx", "Söderbyskogens naturreservat")</f>
        <v/>
      </c>
      <c r="X18">
        <f>HYPERLINK("https://klasma.github.io/Logging_HANINGE_RESERVATSFORSLAG/kartor/Söderbyskogens naturreservat karta.png", "Söderbyskogens naturreservat")</f>
        <v/>
      </c>
      <c r="Y18">
        <f>HYPERLINK("https://klasma.github.io/Logging_HANINGE_RESERVATSFORSLAG/kartor_geotiff/Söderbyskogens naturreservat georefererad karta.tif", "Söderbyskogens naturreservat")</f>
        <v/>
      </c>
      <c r="AA18">
        <f>HYPERLINK("https://klasma.github.io/Logging_HANINGE_RESERVATSFORSLAG/klagomål/Söderbyskogens naturreservat FSC-klagomål.docx", "Söderbyskogens naturreservat")</f>
        <v/>
      </c>
      <c r="AB18">
        <f>HYPERLINK("https://klasma.github.io/Logging_HANINGE_RESERVATSFORSLAG/klagomålsmail/Söderbyskogens naturreservat FSC-klagomål mail.docx", "Söderbyskogens naturreservat")</f>
        <v/>
      </c>
      <c r="AC18">
        <f>HYPERLINK("https://klasma.github.io/Logging_HANINGE_RESERVATSFORSLAG/tillsyn/Söderbyskogens naturreservat tillsynsbegäran.docx", "Söderbyskogens naturreservat")</f>
        <v/>
      </c>
      <c r="AD18">
        <f>HYPERLINK("https://klasma.github.io/Logging_HANINGE_RESERVATSFORSLAG/tillsynsmail/Söderbyskogens naturreservat tillsynsbegäran mail.docx", "Söderbyskogens naturreservat")</f>
        <v/>
      </c>
      <c r="AE18">
        <f>HYPERLINK("https://klasma.github.io/Logging_HANINGE_RESERVATSFORSLAG/fåglar/Söderbyskogens naturreservat prioriterade fågelarter.docx", "Söderbyskogens naturreservat")</f>
        <v/>
      </c>
    </row>
    <row r="19" ht="15" customHeight="1">
      <c r="A19" t="inlineStr">
        <is>
          <t>Jordbro naturreservat</t>
        </is>
      </c>
      <c r="B19" t="inlineStr">
        <is>
          <t>avverkningsanmälan</t>
        </is>
      </c>
      <c r="D19" s="1" t="n">
        <v>46307</v>
      </c>
      <c r="E19" s="1" t="n">
        <v>46307</v>
      </c>
      <c r="F19" t="inlineStr">
        <is>
          <t>Stockholms län</t>
        </is>
      </c>
      <c r="G19" t="inlineStr">
        <is>
          <t>Haninge</t>
        </is>
      </c>
      <c r="H19" t="inlineStr">
        <is>
          <t>Kommuner</t>
        </is>
      </c>
      <c r="I19" t="n">
        <v>132.6</v>
      </c>
      <c r="J19" t="n">
        <v>4</v>
      </c>
      <c r="K19" t="n">
        <v>6</v>
      </c>
      <c r="L19" t="n">
        <v>5</v>
      </c>
      <c r="M19" t="n">
        <v>5</v>
      </c>
      <c r="N19" t="n">
        <v>0</v>
      </c>
      <c r="O19" t="n">
        <v>0</v>
      </c>
      <c r="P19" t="n">
        <v>0</v>
      </c>
      <c r="Q19" t="n">
        <v>10</v>
      </c>
      <c r="R19" t="n">
        <v>5</v>
      </c>
      <c r="S19" t="n">
        <v>19</v>
      </c>
      <c r="T19" t="n">
        <v>23</v>
      </c>
      <c r="U19" t="n">
        <v>0</v>
      </c>
      <c r="V19" s="2" t="inlineStr">
        <is>
          <t>Garnlav
Igelkott
Lungrot
Storfryle
Tajgafältmätare
Baltiskt skogsfly
Bolmört
Gullpudra
Hedjordfly
Tallticka
Barkticka
Mörk husmossa
Skogshakmossa
Stor aspticka
Strutbräken
Tibast
Kråka
Kopparödla
Gullviva</t>
        </is>
      </c>
      <c r="W19">
        <f>HYPERLINK("https://klasma.github.io/Logging_HANINGE_RESERVATSFORSLAG/artfynd/Jordbro naturreservat artfynd.xlsx", "Jordbro naturreservat")</f>
        <v/>
      </c>
      <c r="X19">
        <f>HYPERLINK("https://klasma.github.io/Logging_HANINGE_RESERVATSFORSLAG/kartor/Jordbro naturreservat karta.png", "Jordbro naturreservat")</f>
        <v/>
      </c>
      <c r="Y19">
        <f>HYPERLINK("https://klasma.github.io/Logging_HANINGE_RESERVATSFORSLAG/kartor_geotiff/Jordbro naturreservat georefererad karta.tif", "Jordbro naturreservat")</f>
        <v/>
      </c>
      <c r="AA19">
        <f>HYPERLINK("https://klasma.github.io/Logging_HANINGE_RESERVATSFORSLAG/klagomål/Jordbro naturreservat FSC-klagomål.docx", "Jordbro naturreservat")</f>
        <v/>
      </c>
      <c r="AB19">
        <f>HYPERLINK("https://klasma.github.io/Logging_HANINGE_RESERVATSFORSLAG/klagomålsmail/Jordbro naturreservat FSC-klagomål mail.docx", "Jordbro naturreservat")</f>
        <v/>
      </c>
      <c r="AC19">
        <f>HYPERLINK("https://klasma.github.io/Logging_HANINGE_RESERVATSFORSLAG/tillsyn/Jordbro naturreservat tillsynsbegäran.docx", "Jordbro naturreservat")</f>
        <v/>
      </c>
      <c r="AD19">
        <f>HYPERLINK("https://klasma.github.io/Logging_HANINGE_RESERVATSFORSLAG/tillsynsmail/Jordbro naturreservat tillsynsbegäran mail.docx", "Jordbro naturreservat")</f>
        <v/>
      </c>
    </row>
    <row r="20" ht="15" customHeight="1">
      <c r="A20" t="inlineStr">
        <is>
          <t>Bockbergets naturreservat</t>
        </is>
      </c>
      <c r="B20" t="inlineStr">
        <is>
          <t>avverkningsanmälan</t>
        </is>
      </c>
      <c r="D20" s="1" t="n">
        <v>46307</v>
      </c>
      <c r="E20" s="1" t="n">
        <v>46307</v>
      </c>
      <c r="F20" t="inlineStr">
        <is>
          <t>Stockholms län</t>
        </is>
      </c>
      <c r="G20" t="inlineStr">
        <is>
          <t>Haninge</t>
        </is>
      </c>
      <c r="H20" t="inlineStr">
        <is>
          <t>Övriga statliga verk och myndigheter</t>
        </is>
      </c>
      <c r="I20" t="n">
        <v>329.7</v>
      </c>
      <c r="J20" t="n">
        <v>4</v>
      </c>
      <c r="K20" t="n">
        <v>3</v>
      </c>
      <c r="L20" t="n">
        <v>5</v>
      </c>
      <c r="M20" t="n">
        <v>2</v>
      </c>
      <c r="N20" t="n">
        <v>0</v>
      </c>
      <c r="O20" t="n">
        <v>0</v>
      </c>
      <c r="P20" t="n">
        <v>0</v>
      </c>
      <c r="Q20" t="n">
        <v>7</v>
      </c>
      <c r="R20" t="n">
        <v>2</v>
      </c>
      <c r="S20" t="n">
        <v>12</v>
      </c>
      <c r="T20" t="n">
        <v>20</v>
      </c>
      <c r="U20" t="n">
        <v>0</v>
      </c>
      <c r="V20" s="2" t="inlineStr">
        <is>
          <t>Gränsticka
Knärot
Dvärgbägarlav
Fjällig taggsvamp s.str.
Kungsfiskare
Motaggsvamp
Tallticka
Blåmossa
Stor aspticka
Vedticka
Spillkråka
Salskrake</t>
        </is>
      </c>
      <c r="W20">
        <f>HYPERLINK("https://klasma.github.io/Logging_HANINGE_RESERVATSFORSLAG/artfynd/Bockbergets naturreservat artfynd.xlsx", "Bockbergets naturreservat")</f>
        <v/>
      </c>
      <c r="X20">
        <f>HYPERLINK("https://klasma.github.io/Logging_HANINGE_RESERVATSFORSLAG/kartor/Bockbergets naturreservat karta.png", "Bockbergets naturreservat")</f>
        <v/>
      </c>
      <c r="Y20">
        <f>HYPERLINK("https://klasma.github.io/Logging_HANINGE_RESERVATSFORSLAG/kartor_geotiff/Bockbergets naturreservat georefererad karta.tif", "Bockbergets naturreservat")</f>
        <v/>
      </c>
      <c r="Z20">
        <f>HYPERLINK("https://klasma.github.io/Logging_HANINGE_RESERVATSFORSLAG/knärot/Bockbergets naturreservat karta knärot.png", "Bockbergets naturreservat")</f>
        <v/>
      </c>
      <c r="AA20">
        <f>HYPERLINK("https://klasma.github.io/Logging_HANINGE_RESERVATSFORSLAG/klagomål/Bockbergets naturreservat FSC-klagomål.docx", "Bockbergets naturreservat")</f>
        <v/>
      </c>
      <c r="AB20">
        <f>HYPERLINK("https://klasma.github.io/Logging_HANINGE_RESERVATSFORSLAG/klagomålsmail/Bockbergets naturreservat FSC-klagomål mail.docx", "Bockbergets naturreservat")</f>
        <v/>
      </c>
      <c r="AC20">
        <f>HYPERLINK("https://klasma.github.io/Logging_HANINGE_RESERVATSFORSLAG/tillsyn/Bockbergets naturreservat tillsynsbegäran.docx", "Bockbergets naturreservat")</f>
        <v/>
      </c>
      <c r="AD20">
        <f>HYPERLINK("https://klasma.github.io/Logging_HANINGE_RESERVATSFORSLAG/tillsynsmail/Bockbergets naturreservat tillsynsbegäran mail.docx", "Bockbergets naturreservat")</f>
        <v/>
      </c>
      <c r="AE20">
        <f>HYPERLINK("https://klasma.github.io/Logging_HANINGE_RESERVATSFORSLAG/fåglar/Bockbergets naturreservat prioriterade fågelarter.docx", "Bockbergets naturreservat")</f>
        <v/>
      </c>
    </row>
    <row r="21" ht="15" customHeight="1">
      <c r="A21" t="inlineStr">
        <is>
          <t>Jordbro gravfälts naturreservat</t>
        </is>
      </c>
      <c r="B21" t="inlineStr">
        <is>
          <t>avverkningsanmälan</t>
        </is>
      </c>
      <c r="D21" s="1" t="n">
        <v>46307</v>
      </c>
      <c r="E21" s="1" t="n">
        <v>46307</v>
      </c>
      <c r="F21" t="inlineStr">
        <is>
          <t>Stockholms län</t>
        </is>
      </c>
      <c r="G21" t="inlineStr">
        <is>
          <t>Haninge</t>
        </is>
      </c>
      <c r="H21" t="inlineStr">
        <is>
          <t>Kommuner</t>
        </is>
      </c>
      <c r="I21" t="n">
        <v>48.9</v>
      </c>
      <c r="J21" t="n">
        <v>5</v>
      </c>
      <c r="K21" t="n">
        <v>3</v>
      </c>
      <c r="L21" t="n">
        <v>4</v>
      </c>
      <c r="M21" t="n">
        <v>0</v>
      </c>
      <c r="N21" t="n">
        <v>0</v>
      </c>
      <c r="O21" t="n">
        <v>0</v>
      </c>
      <c r="P21" t="n">
        <v>0</v>
      </c>
      <c r="Q21" t="n">
        <v>4</v>
      </c>
      <c r="R21" t="n">
        <v>0</v>
      </c>
      <c r="S21" t="n">
        <v>12</v>
      </c>
      <c r="T21" t="n">
        <v>13</v>
      </c>
      <c r="U21" t="n">
        <v>0</v>
      </c>
      <c r="V21" s="2" t="inlineStr">
        <is>
          <t>Motaggsvamp
Nötkråka
Storgröe
Tallmovägstekel
Hasselticka
Större träfjäril
Svavelriska
Mattlummer
Vitsippa
Kopparödla
Vanlig groda
Revlummer</t>
        </is>
      </c>
      <c r="W21">
        <f>HYPERLINK("https://klasma.github.io/Logging_HANINGE_RESERVATSFORSLAG/artfynd/Jordbro gravfälts naturreservat artfynd.xlsx", "Jordbro gravfälts naturreservat")</f>
        <v/>
      </c>
      <c r="X21">
        <f>HYPERLINK("https://klasma.github.io/Logging_HANINGE_RESERVATSFORSLAG/kartor/Jordbro gravfälts naturreservat karta.png", "Jordbro gravfälts naturreservat")</f>
        <v/>
      </c>
      <c r="Y21">
        <f>HYPERLINK("https://klasma.github.io/Logging_HANINGE_RESERVATSFORSLAG/kartor_geotiff/Jordbro gravfälts naturreservat georefererad karta.tif", "Jordbro gravfälts naturreservat")</f>
        <v/>
      </c>
      <c r="AA21">
        <f>HYPERLINK("https://klasma.github.io/Logging_HANINGE_RESERVATSFORSLAG/klagomål/Jordbro gravfälts naturreservat FSC-klagomål.docx", "Jordbro gravfälts naturreservat")</f>
        <v/>
      </c>
      <c r="AB21">
        <f>HYPERLINK("https://klasma.github.io/Logging_HANINGE_RESERVATSFORSLAG/klagomålsmail/Jordbro gravfälts naturreservat FSC-klagomål mail.docx", "Jordbro gravfälts naturreservat")</f>
        <v/>
      </c>
      <c r="AC21">
        <f>HYPERLINK("https://klasma.github.io/Logging_HANINGE_RESERVATSFORSLAG/tillsyn/Jordbro gravfälts naturreservat tillsynsbegäran.docx", "Jordbro gravfälts naturreservat")</f>
        <v/>
      </c>
      <c r="AD21">
        <f>HYPERLINK("https://klasma.github.io/Logging_HANINGE_RESERVATSFORSLAG/tillsynsmail/Jordbro gravfälts naturreservat tillsynsbegäran mail.docx", "Jordbro gravfälts naturreservat")</f>
        <v/>
      </c>
      <c r="AE21">
        <f>HYPERLINK("https://klasma.github.io/Logging_HANINGE_RESERVATSFORSLAG/fåglar/Jordbro gravfälts naturreservat prioriterade fågelarter.docx", "Jordbro gravfälts naturreservat")</f>
        <v/>
      </c>
    </row>
    <row r="22" ht="15" customHeight="1">
      <c r="A22" t="inlineStr">
        <is>
          <t>Grytholmens naturreservat</t>
        </is>
      </c>
      <c r="B22" t="inlineStr">
        <is>
          <t>avverkningsanmälan</t>
        </is>
      </c>
      <c r="D22" s="1" t="n">
        <v>46307</v>
      </c>
      <c r="E22" s="1" t="n">
        <v>46307</v>
      </c>
      <c r="F22" t="inlineStr">
        <is>
          <t>Stockholms län</t>
        </is>
      </c>
      <c r="G22" t="inlineStr">
        <is>
          <t>Haninge</t>
        </is>
      </c>
      <c r="H22" t="inlineStr">
        <is>
          <t>Kommuner</t>
        </is>
      </c>
      <c r="I22" t="n">
        <v>33</v>
      </c>
      <c r="J22" t="n">
        <v>4</v>
      </c>
      <c r="K22" t="n">
        <v>1</v>
      </c>
      <c r="L22" t="n">
        <v>4</v>
      </c>
      <c r="M22" t="n">
        <v>0</v>
      </c>
      <c r="N22" t="n">
        <v>0</v>
      </c>
      <c r="O22" t="n">
        <v>0</v>
      </c>
      <c r="P22" t="n">
        <v>0</v>
      </c>
      <c r="Q22" t="n">
        <v>4</v>
      </c>
      <c r="R22" t="n">
        <v>0</v>
      </c>
      <c r="S22" t="n">
        <v>7</v>
      </c>
      <c r="T22" t="n">
        <v>7</v>
      </c>
      <c r="U22" t="n">
        <v>0</v>
      </c>
      <c r="V22" s="2" t="inlineStr">
        <is>
          <t>Adam och eva
Jungfrulin
Solvända
Sårläka
Skogsknipprot
Grönvit nattviol
Nattviol</t>
        </is>
      </c>
      <c r="W22">
        <f>HYPERLINK("https://klasma.github.io/Logging_HANINGE_RESERVATSFORSLAG/artfynd/Grytholmens naturreservat artfynd.xlsx", "Grytholmens naturreservat")</f>
        <v/>
      </c>
      <c r="X22">
        <f>HYPERLINK("https://klasma.github.io/Logging_HANINGE_RESERVATSFORSLAG/kartor/Grytholmens naturreservat karta.png", "Grytholmens naturreservat")</f>
        <v/>
      </c>
      <c r="Y22">
        <f>HYPERLINK("https://klasma.github.io/Logging_HANINGE_RESERVATSFORSLAG/kartor_geotiff/Grytholmens naturreservat georefererad karta.tif", "Grytholmens naturreservat")</f>
        <v/>
      </c>
      <c r="AA22">
        <f>HYPERLINK("https://klasma.github.io/Logging_HANINGE_RESERVATSFORSLAG/klagomål/Grytholmens naturreservat FSC-klagomål.docx", "Grytholmens naturreservat")</f>
        <v/>
      </c>
      <c r="AB22">
        <f>HYPERLINK("https://klasma.github.io/Logging_HANINGE_RESERVATSFORSLAG/klagomålsmail/Grytholmens naturreservat FSC-klagomål mail.docx", "Grytholmens naturreservat")</f>
        <v/>
      </c>
      <c r="AC22">
        <f>HYPERLINK("https://klasma.github.io/Logging_HANINGE_RESERVATSFORSLAG/tillsyn/Grytholmens naturreservat tillsynsbegäran.docx", "Grytholmens naturreservat")</f>
        <v/>
      </c>
      <c r="AD22">
        <f>HYPERLINK("https://klasma.github.io/Logging_HANINGE_RESERVATSFORSLAG/tillsynsmail/Grytholmens naturreservat tillsynsbegäran mail.docx", "Grytholmens naturreservat")</f>
        <v/>
      </c>
    </row>
    <row r="23">
      <c r="A23" t="inlineStr">
        <is>
          <t>Öster om Norra skogens naturreservat</t>
        </is>
      </c>
      <c r="B23" t="inlineStr">
        <is>
          <t>avverkningsanmälan</t>
        </is>
      </c>
      <c r="D23" s="1" t="n">
        <v>46307</v>
      </c>
      <c r="E23" s="1" t="n">
        <v>46307</v>
      </c>
      <c r="F23" t="inlineStr">
        <is>
          <t>Stockholms län</t>
        </is>
      </c>
      <c r="G23" t="inlineStr">
        <is>
          <t>Haninge</t>
        </is>
      </c>
      <c r="I23" t="n">
        <v>102.1</v>
      </c>
      <c r="J23" t="n">
        <v>4</v>
      </c>
      <c r="K23" t="n">
        <v>1</v>
      </c>
      <c r="L23" t="n">
        <v>1</v>
      </c>
      <c r="M23" t="n">
        <v>0</v>
      </c>
      <c r="N23" t="n">
        <v>0</v>
      </c>
      <c r="O23" t="n">
        <v>0</v>
      </c>
      <c r="P23" t="n">
        <v>0</v>
      </c>
      <c r="Q23" t="n">
        <v>1</v>
      </c>
      <c r="R23" t="n">
        <v>0</v>
      </c>
      <c r="S23" t="n">
        <v>5</v>
      </c>
      <c r="T23" t="n">
        <v>6</v>
      </c>
      <c r="U23" t="n">
        <v>0</v>
      </c>
      <c r="V23" s="2" t="inlineStr">
        <is>
          <t>Sårläka
Nästrot
Tjäder
Kopparödla
Fläcknycklar</t>
        </is>
      </c>
      <c r="W23">
        <f>HYPERLINK("https://klasma.github.io/Logging_HANINGE_RESERVATSFORSLAG/artfynd/Öster om Norra skogens naturreservat artfynd.xlsx", "Öster om Norra skogens naturreservat")</f>
        <v/>
      </c>
      <c r="X23">
        <f>HYPERLINK("https://klasma.github.io/Logging_HANINGE_RESERVATSFORSLAG/kartor/Öster om Norra skogens naturreservat karta.png", "Öster om Norra skogens naturreservat")</f>
        <v/>
      </c>
      <c r="Y23">
        <f>HYPERLINK("https://klasma.github.io/Logging_HANINGE_RESERVATSFORSLAG/kartor_geotiff/Öster om Norra skogens naturreservat georefererad karta.tif", "Öster om Norra skogens naturreservat")</f>
        <v/>
      </c>
      <c r="AA23">
        <f>HYPERLINK("https://klasma.github.io/Logging_HANINGE_RESERVATSFORSLAG/klagomål/Öster om Norra skogens naturreservat FSC-klagomål.docx", "Öster om Norra skogens naturreservat")</f>
        <v/>
      </c>
      <c r="AB23">
        <f>HYPERLINK("https://klasma.github.io/Logging_HANINGE_RESERVATSFORSLAG/klagomålsmail/Öster om Norra skogens naturreservat FSC-klagomål mail.docx", "Öster om Norra skogens naturreservat")</f>
        <v/>
      </c>
      <c r="AC23">
        <f>HYPERLINK("https://klasma.github.io/Logging_HANINGE_RESERVATSFORSLAG/tillsyn/Öster om Norra skogens naturreservat tillsynsbegäran.docx", "Öster om Norra skogens naturreservat")</f>
        <v/>
      </c>
      <c r="AD23">
        <f>HYPERLINK("https://klasma.github.io/Logging_HANINGE_RESERVATSFORSLAG/tillsynsmail/Öster om Norra skogens naturreservat tillsynsbegäran mail.docx", "Öster om Norra skogens naturreservat")</f>
        <v/>
      </c>
      <c r="AE23">
        <f>HYPERLINK("https://klasma.github.io/Logging_HANINGE_RESERVATSFORSLAG/fåglar/Öster om Norra skogens naturreservat prioriterade fågelarter.docx", "Öster om Norra skogens naturreservat")</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2026-10-12T03:41:40Z</dcterms:created>
  <dcterms:modified xmlns:dcterms="http://purl.org/dc/terms/" xmlns:xsi="http://www.w3.org/2001/XMLSchema-instance" xsi:type="dcterms:W3CDTF">2026-10-12T03:41:40Z</dcterms:modified>
</cp:coreProperties>
</file>