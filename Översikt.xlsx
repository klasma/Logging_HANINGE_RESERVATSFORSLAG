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Ramsjöns naturreservat</t>
        </is>
      </c>
      <c r="B2" t="inlineStr">
        <is>
          <t>avverkningsanmälan</t>
        </is>
      </c>
      <c r="D2" s="1" t="n">
        <v>46227</v>
      </c>
      <c r="E2" s="1" t="n">
        <v>46227</v>
      </c>
      <c r="F2" t="inlineStr">
        <is>
          <t>Stockholms län</t>
        </is>
      </c>
      <c r="G2" t="inlineStr">
        <is>
          <t>Haninge</t>
        </is>
      </c>
      <c r="I2" t="n">
        <v>280.8</v>
      </c>
      <c r="J2" t="n">
        <v>40</v>
      </c>
      <c r="K2" t="n">
        <v>46</v>
      </c>
      <c r="L2" t="n">
        <v>53</v>
      </c>
      <c r="M2" t="n">
        <v>22</v>
      </c>
      <c r="N2" t="n">
        <v>3</v>
      </c>
      <c r="O2" t="n">
        <v>0</v>
      </c>
      <c r="P2" t="n">
        <v>0</v>
      </c>
      <c r="Q2" t="n">
        <v>78</v>
      </c>
      <c r="R2" t="n">
        <v>25</v>
      </c>
      <c r="S2" t="n">
        <v>156</v>
      </c>
      <c r="T2" t="n">
        <v>778</v>
      </c>
      <c r="U2" t="n">
        <v>0</v>
      </c>
      <c r="V2"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2">
        <f>HYPERLINK("https://klasma.github.io/Logging_HANINGE_RESERVATSFORSLAG/artfynd/Ramsjöns naturreservat artfynd.xlsx", "Ramsjöns naturreservat")</f>
        <v/>
      </c>
      <c r="X2">
        <f>HYPERLINK("https://klasma.github.io/Logging_HANINGE_RESERVATSFORSLAG/kartor/Ramsjöns naturreservat karta.png", "Ramsjöns naturreservat")</f>
        <v/>
      </c>
      <c r="Y2">
        <f>HYPERLINK("https://klasma.github.io/Logging_HANINGE_RESERVATSFORSLAG/kartor_geotiff/Ramsjöns naturreservat georefererad karta.tif", "Ramsjöns naturreservat")</f>
        <v/>
      </c>
      <c r="Z2">
        <f>HYPERLINK("https://klasma.github.io/Logging_HANINGE_RESERVATSFORSLAG/knärot/Ramsjöns naturreservat karta knärot.png", "Ramsjöns naturreservat")</f>
        <v/>
      </c>
      <c r="AA2">
        <f>HYPERLINK("https://klasma.github.io/Logging_HANINGE_RESERVATSFORSLAG/klagomål/Ramsjöns naturreservat FSC-klagomål.docx", "Ramsjöns naturreservat")</f>
        <v/>
      </c>
      <c r="AB2">
        <f>HYPERLINK("https://klasma.github.io/Logging_HANINGE_RESERVATSFORSLAG/klagomålsmail/Ramsjöns naturreservat FSC-klagomål mail.docx", "Ramsjöns naturreservat")</f>
        <v/>
      </c>
      <c r="AC2">
        <f>HYPERLINK("https://klasma.github.io/Logging_HANINGE_RESERVATSFORSLAG/tillsyn/Ramsjöns naturreservat tillsynsbegäran.docx", "Ramsjöns naturreservat")</f>
        <v/>
      </c>
      <c r="AD2">
        <f>HYPERLINK("https://klasma.github.io/Logging_HANINGE_RESERVATSFORSLAG/tillsynsmail/Ramsjöns naturreservat tillsynsbegäran mail.docx", "Ramsjöns naturreservat")</f>
        <v/>
      </c>
      <c r="AE2">
        <f>HYPERLINK("https://klasma.github.io/Logging_HANINGE_RESERVATSFORSLAG/fåglar/Ramsjöns naturreservat prioriterade fågelarter.docx", "Ramsjöns naturreservat")</f>
        <v/>
      </c>
    </row>
    <row r="3" ht="15" customHeight="1">
      <c r="A3" t="inlineStr">
        <is>
          <t>Högstaskogens naturreservat</t>
        </is>
      </c>
      <c r="B3" t="inlineStr">
        <is>
          <t>avverkningsanmälan</t>
        </is>
      </c>
      <c r="D3" s="1" t="n">
        <v>46227</v>
      </c>
      <c r="E3" s="1" t="n">
        <v>46227</v>
      </c>
      <c r="F3" t="inlineStr">
        <is>
          <t>Stockholms län</t>
        </is>
      </c>
      <c r="G3" t="inlineStr">
        <is>
          <t>Haninge</t>
        </is>
      </c>
      <c r="I3" t="n">
        <v>415</v>
      </c>
      <c r="J3" t="n">
        <v>41</v>
      </c>
      <c r="K3" t="n">
        <v>45</v>
      </c>
      <c r="L3" t="n">
        <v>50</v>
      </c>
      <c r="M3" t="n">
        <v>25</v>
      </c>
      <c r="N3" t="n">
        <v>5</v>
      </c>
      <c r="O3" t="n">
        <v>0</v>
      </c>
      <c r="P3" t="n">
        <v>0</v>
      </c>
      <c r="Q3" t="n">
        <v>80</v>
      </c>
      <c r="R3" t="n">
        <v>30</v>
      </c>
      <c r="S3" t="n">
        <v>153</v>
      </c>
      <c r="T3" t="n">
        <v>1243</v>
      </c>
      <c r="U3" t="n">
        <v>0</v>
      </c>
      <c r="V3"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Gullpudra
Gulsparv
Jungfrulin
Kandelabersvamp
Kattfotslav
Kötticka
Loppstarr
Lunglav
Mindre hackspett
Mindre tåtelsmygare
Motaggsvamp
Nordfladdermus
Orange taggsvamp
Rynkskinn
Rödvingetrast
Skarp dropptaggsvamp
Skogshare
Storgröe
Svartvit taggsvamp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Mattlummer
Nattskärra
Repestarr
Spillkråka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3">
        <f>HYPERLINK("https://klasma.github.io/Logging_HANINGE_RESERVATSFORSLAG/artfynd/Högstaskogens naturreservat artfynd.xlsx", "Högstaskogens naturreservat")</f>
        <v/>
      </c>
      <c r="X3">
        <f>HYPERLINK("https://klasma.github.io/Logging_HANINGE_RESERVATSFORSLAG/kartor/Högstaskogens naturreservat karta.png", "Högstaskogens naturreservat")</f>
        <v/>
      </c>
      <c r="Y3">
        <f>HYPERLINK("https://klasma.github.io/Logging_HANINGE_RESERVATSFORSLAG/kartor_geotiff/Högstaskogens naturreservat georefererad karta.tif", "Högstaskogens naturreservat")</f>
        <v/>
      </c>
      <c r="Z3">
        <f>HYPERLINK("https://klasma.github.io/Logging_HANINGE_RESERVATSFORSLAG/knärot/Högstaskogens naturreservat karta knärot.png", "Högstaskogens naturreservat")</f>
        <v/>
      </c>
      <c r="AA3">
        <f>HYPERLINK("https://klasma.github.io/Logging_HANINGE_RESERVATSFORSLAG/klagomål/Högstaskogens naturreservat FSC-klagomål.docx", "Högstaskogens naturreservat")</f>
        <v/>
      </c>
      <c r="AB3">
        <f>HYPERLINK("https://klasma.github.io/Logging_HANINGE_RESERVATSFORSLAG/klagomålsmail/Högstaskogens naturreservat FSC-klagomål mail.docx", "Högstaskogens naturreservat")</f>
        <v/>
      </c>
      <c r="AC3">
        <f>HYPERLINK("https://klasma.github.io/Logging_HANINGE_RESERVATSFORSLAG/tillsyn/Högstaskogens naturreservat tillsynsbegäran.docx", "Högstaskogens naturreservat")</f>
        <v/>
      </c>
      <c r="AD3">
        <f>HYPERLINK("https://klasma.github.io/Logging_HANINGE_RESERVATSFORSLAG/tillsynsmail/Högstaskogens naturreservat tillsynsbegäran mail.docx", "Högstaskogens naturreservat")</f>
        <v/>
      </c>
      <c r="AE3">
        <f>HYPERLINK("https://klasma.github.io/Logging_HANINGE_RESERVATSFORSLAG/fåglar/Högstaskogens naturreservat prioriterade fågelarter.docx", "Högstaskogens naturreservat")</f>
        <v/>
      </c>
    </row>
    <row r="4" ht="15" customHeight="1">
      <c r="A4" t="inlineStr">
        <is>
          <t>Ornös nordspets</t>
        </is>
      </c>
      <c r="B4" t="inlineStr">
        <is>
          <t>avverkningsanmälan</t>
        </is>
      </c>
      <c r="D4" s="1" t="n">
        <v>46227</v>
      </c>
      <c r="E4" s="1" t="n">
        <v>46227</v>
      </c>
      <c r="F4" t="inlineStr">
        <is>
          <t>Stockholms län</t>
        </is>
      </c>
      <c r="G4" t="inlineStr">
        <is>
          <t>Haninge</t>
        </is>
      </c>
      <c r="I4" t="n">
        <v>450.6</v>
      </c>
      <c r="J4" t="n">
        <v>25</v>
      </c>
      <c r="K4" t="n">
        <v>58</v>
      </c>
      <c r="L4" t="n">
        <v>34</v>
      </c>
      <c r="M4" t="n">
        <v>10</v>
      </c>
      <c r="N4" t="n">
        <v>5</v>
      </c>
      <c r="O4" t="n">
        <v>0</v>
      </c>
      <c r="P4" t="n">
        <v>0</v>
      </c>
      <c r="Q4" t="n">
        <v>50</v>
      </c>
      <c r="R4" t="n">
        <v>15</v>
      </c>
      <c r="S4" t="n">
        <v>120</v>
      </c>
      <c r="T4" t="n">
        <v>444</v>
      </c>
      <c r="U4" t="n">
        <v>0</v>
      </c>
      <c r="V4"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4">
        <f>HYPERLINK("https://klasma.github.io/Logging_HANINGE_RESERVATSFORSLAG/artfynd/Ornös nordspets artfynd.xlsx", "Ornös nordspets")</f>
        <v/>
      </c>
      <c r="X4">
        <f>HYPERLINK("https://klasma.github.io/Logging_HANINGE_RESERVATSFORSLAG/kartor/Ornös nordspets karta.png", "Ornös nordspets")</f>
        <v/>
      </c>
      <c r="Y4">
        <f>HYPERLINK("https://klasma.github.io/Logging_HANINGE_RESERVATSFORSLAG/kartor_geotiff/Ornös nordspets georefererad karta.tif", "Ornös nordspets")</f>
        <v/>
      </c>
      <c r="Z4">
        <f>HYPERLINK("https://klasma.github.io/Logging_HANINGE_RESERVATSFORSLAG/knärot/Ornös nordspets karta knärot.png", "Ornös nordspets")</f>
        <v/>
      </c>
      <c r="AA4">
        <f>HYPERLINK("https://klasma.github.io/Logging_HANINGE_RESERVATSFORSLAG/klagomål/Ornös nordspets FSC-klagomål.docx", "Ornös nordspets")</f>
        <v/>
      </c>
      <c r="AB4">
        <f>HYPERLINK("https://klasma.github.io/Logging_HANINGE_RESERVATSFORSLAG/klagomålsmail/Ornös nordspets FSC-klagomål mail.docx", "Ornös nordspets")</f>
        <v/>
      </c>
      <c r="AC4">
        <f>HYPERLINK("https://klasma.github.io/Logging_HANINGE_RESERVATSFORSLAG/tillsyn/Ornös nordspets tillsynsbegäran.docx", "Ornös nordspets")</f>
        <v/>
      </c>
      <c r="AD4">
        <f>HYPERLINK("https://klasma.github.io/Logging_HANINGE_RESERVATSFORSLAG/tillsynsmail/Ornös nordspets tillsynsbegäran mail.docx", "Ornös nordspets")</f>
        <v/>
      </c>
      <c r="AE4">
        <f>HYPERLINK("https://klasma.github.io/Logging_HANINGE_RESERVATSFORSLAG/fåglar/Ornös nordspets prioriterade fågelarter.docx", "Ornös nordspets")</f>
        <v/>
      </c>
    </row>
    <row r="5" ht="15" customHeight="1">
      <c r="A5" t="inlineStr">
        <is>
          <t>Norrbytorps naturreservat utökat</t>
        </is>
      </c>
      <c r="B5" t="inlineStr">
        <is>
          <t>avverkningsanmälan</t>
        </is>
      </c>
      <c r="D5" s="1" t="n">
        <v>46227</v>
      </c>
      <c r="E5" s="1" t="n">
        <v>46227</v>
      </c>
      <c r="F5" t="inlineStr">
        <is>
          <t>Stockholms län</t>
        </is>
      </c>
      <c r="G5" t="inlineStr">
        <is>
          <t>Haninge</t>
        </is>
      </c>
      <c r="I5" t="n">
        <v>194.4</v>
      </c>
      <c r="J5" t="n">
        <v>34</v>
      </c>
      <c r="K5" t="n">
        <v>31</v>
      </c>
      <c r="L5" t="n">
        <v>44</v>
      </c>
      <c r="M5" t="n">
        <v>18</v>
      </c>
      <c r="N5" t="n">
        <v>3</v>
      </c>
      <c r="O5" t="n">
        <v>0</v>
      </c>
      <c r="P5" t="n">
        <v>0</v>
      </c>
      <c r="Q5" t="n">
        <v>65</v>
      </c>
      <c r="R5" t="n">
        <v>21</v>
      </c>
      <c r="S5" t="n">
        <v>118</v>
      </c>
      <c r="T5" t="n">
        <v>823</v>
      </c>
      <c r="U5" t="n">
        <v>0</v>
      </c>
      <c r="V5"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Aspvedborre
Björksplintborre
Blodticka
Blomkålssvamp
Blåmossa
Brandticka
Bronshjon
Dorcatoma dresdensis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Linnea
Mattlummer
Nattskärra
Spillkråka
Tallört (aggregat)
Tjäder
Gröngöling
Grönsiska
Havsörn
Kungsfågel
Trana
Törnskata
Åkergroda
Huggorm
Kopparödla
Mindre vattensalamander
Vanlig groda
Vanlig padda
Vanlig snok
Fläcknycklar
Nattviol
Revlummer</t>
        </is>
      </c>
      <c r="W5">
        <f>HYPERLINK("https://klasma.github.io/Logging_HANINGE_RESERVATSFORSLAG/artfynd/Norrbytorps naturreservat utökat artfynd.xlsx", "Norrbytorps naturreservat utökat")</f>
        <v/>
      </c>
      <c r="X5">
        <f>HYPERLINK("https://klasma.github.io/Logging_HANINGE_RESERVATSFORSLAG/kartor/Norrbytorps naturreservat utökat karta.png", "Norrbytorps naturreservat utökat")</f>
        <v/>
      </c>
      <c r="Y5">
        <f>HYPERLINK("https://klasma.github.io/Logging_HANINGE_RESERVATSFORSLAG/kartor_geotiff/Norrbytorps naturreservat utökat georefererad karta.tif", "Norrbytorps naturreservat utökat")</f>
        <v/>
      </c>
      <c r="Z5">
        <f>HYPERLINK("https://klasma.github.io/Logging_HANINGE_RESERVATSFORSLAG/knärot/Norrbytorps naturreservat utökat karta knärot.png", "Norrbytorps naturreservat utökat")</f>
        <v/>
      </c>
      <c r="AA5">
        <f>HYPERLINK("https://klasma.github.io/Logging_HANINGE_RESERVATSFORSLAG/klagomål/Norrbytorps naturreservat utökat FSC-klagomål.docx", "Norrbytorps naturreservat utökat")</f>
        <v/>
      </c>
      <c r="AB5">
        <f>HYPERLINK("https://klasma.github.io/Logging_HANINGE_RESERVATSFORSLAG/klagomålsmail/Norrbytorps naturreservat utökat FSC-klagomål mail.docx", "Norrbytorps naturreservat utökat")</f>
        <v/>
      </c>
      <c r="AC5">
        <f>HYPERLINK("https://klasma.github.io/Logging_HANINGE_RESERVATSFORSLAG/tillsyn/Norrbytorps naturreservat utökat tillsynsbegäran.docx", "Norrbytorps naturreservat utökat")</f>
        <v/>
      </c>
      <c r="AD5">
        <f>HYPERLINK("https://klasma.github.io/Logging_HANINGE_RESERVATSFORSLAG/tillsynsmail/Norrbytorps naturreservat utökat tillsynsbegäran mail.docx", "Norrbytorps naturreservat utökat")</f>
        <v/>
      </c>
      <c r="AE5">
        <f>HYPERLINK("https://klasma.github.io/Logging_HANINGE_RESERVATSFORSLAG/fåglar/Norrbytorps naturreservat utökat prioriterade fågelarter.docx", "Norrbytorps naturreservat utökat")</f>
        <v/>
      </c>
    </row>
    <row r="6" ht="15" customHeight="1">
      <c r="A6" t="inlineStr">
        <is>
          <t>Skäggsmoskogens naturreservat</t>
        </is>
      </c>
      <c r="B6" t="inlineStr">
        <is>
          <t>avverkningsanmälan</t>
        </is>
      </c>
      <c r="D6" s="1" t="n">
        <v>46227</v>
      </c>
      <c r="E6" s="1" t="n">
        <v>46227</v>
      </c>
      <c r="F6" t="inlineStr">
        <is>
          <t>Stockholms län</t>
        </is>
      </c>
      <c r="G6" t="inlineStr">
        <is>
          <t>Haninge</t>
        </is>
      </c>
      <c r="H6" t="inlineStr">
        <is>
          <t>Kommuner</t>
        </is>
      </c>
      <c r="I6" t="n">
        <v>185.8</v>
      </c>
      <c r="J6" t="n">
        <v>65</v>
      </c>
      <c r="K6" t="n">
        <v>19</v>
      </c>
      <c r="L6" t="n">
        <v>36</v>
      </c>
      <c r="M6" t="n">
        <v>10</v>
      </c>
      <c r="N6" t="n">
        <v>5</v>
      </c>
      <c r="O6" t="n">
        <v>0</v>
      </c>
      <c r="P6" t="n">
        <v>0</v>
      </c>
      <c r="Q6" t="n">
        <v>52</v>
      </c>
      <c r="R6" t="n">
        <v>15</v>
      </c>
      <c r="S6" t="n">
        <v>107</v>
      </c>
      <c r="T6" t="n">
        <v>265</v>
      </c>
      <c r="U6" t="n">
        <v>0</v>
      </c>
      <c r="V6"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6">
        <f>HYPERLINK("https://klasma.github.io/Logging_HANINGE_RESERVATSFORSLAG/artfynd/Skäggsmoskogens naturreservat artfynd.xlsx", "Skäggsmoskogens naturreservat")</f>
        <v/>
      </c>
      <c r="X6">
        <f>HYPERLINK("https://klasma.github.io/Logging_HANINGE_RESERVATSFORSLAG/kartor/Skäggsmoskogens naturreservat karta.png", "Skäggsmoskogens naturreservat")</f>
        <v/>
      </c>
      <c r="Y6">
        <f>HYPERLINK("https://klasma.github.io/Logging_HANINGE_RESERVATSFORSLAG/kartor_geotiff/Skäggsmoskogens naturreservat georefererad karta.tif", "Skäggsmoskogens naturreservat")</f>
        <v/>
      </c>
      <c r="AA6">
        <f>HYPERLINK("https://klasma.github.io/Logging_HANINGE_RESERVATSFORSLAG/klagomål/Skäggsmoskogens naturreservat FSC-klagomål.docx", "Skäggsmoskogens naturreservat")</f>
        <v/>
      </c>
      <c r="AB6">
        <f>HYPERLINK("https://klasma.github.io/Logging_HANINGE_RESERVATSFORSLAG/klagomålsmail/Skäggsmoskogens naturreservat FSC-klagomål mail.docx", "Skäggsmoskogens naturreservat")</f>
        <v/>
      </c>
      <c r="AC6">
        <f>HYPERLINK("https://klasma.github.io/Logging_HANINGE_RESERVATSFORSLAG/tillsyn/Skäggsmoskogens naturreservat tillsynsbegäran.docx", "Skäggsmoskogens naturreservat")</f>
        <v/>
      </c>
      <c r="AD6">
        <f>HYPERLINK("https://klasma.github.io/Logging_HANINGE_RESERVATSFORSLAG/tillsynsmail/Skäggsmoskogens naturreservat tillsynsbegäran mail.docx", "Skäggsmoskogens naturreservat")</f>
        <v/>
      </c>
      <c r="AE6">
        <f>HYPERLINK("https://klasma.github.io/Logging_HANINGE_RESERVATSFORSLAG/fåglar/Skäggsmoskogens naturreservat prioriterade fågelarter.docx", "Skäggsmoskogens naturreservat")</f>
        <v/>
      </c>
    </row>
    <row r="7" ht="15" customHeight="1">
      <c r="A7" t="inlineStr">
        <is>
          <t>Norrbytorps naturreservat</t>
        </is>
      </c>
      <c r="B7" t="inlineStr">
        <is>
          <t>avverkningsanmälan</t>
        </is>
      </c>
      <c r="D7" s="1" t="n">
        <v>46227</v>
      </c>
      <c r="E7" s="1" t="n">
        <v>46227</v>
      </c>
      <c r="F7" t="inlineStr">
        <is>
          <t>Stockholms län</t>
        </is>
      </c>
      <c r="G7" t="inlineStr">
        <is>
          <t>Haninge</t>
        </is>
      </c>
      <c r="I7" t="n">
        <v>159.7</v>
      </c>
      <c r="J7" t="n">
        <v>31</v>
      </c>
      <c r="K7" t="n">
        <v>24</v>
      </c>
      <c r="L7" t="n">
        <v>38</v>
      </c>
      <c r="M7" t="n">
        <v>16</v>
      </c>
      <c r="N7" t="n">
        <v>2</v>
      </c>
      <c r="O7" t="n">
        <v>0</v>
      </c>
      <c r="P7" t="n">
        <v>0</v>
      </c>
      <c r="Q7" t="n">
        <v>56</v>
      </c>
      <c r="R7" t="n">
        <v>18</v>
      </c>
      <c r="S7" t="n">
        <v>99</v>
      </c>
      <c r="T7" t="n">
        <v>681</v>
      </c>
      <c r="U7" t="n">
        <v>0</v>
      </c>
      <c r="V7"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Skarp dropptaggsvamp
Skogsklocka
Svartvit taggsvamp
Tallfingersvamp
Talltagel
Tallticka
Talltita
Tjockfotad fingersvamp
Ullticka
Vaddporing
Vedskivlav
Vedtrappmossa
Vintertagging
Vågticka
Björksplintborre
Blomkålssvamp
Blåmossa
Brandticka
Bronshjon
Granbarkgnagare
Grovticka
Grön sköldmossa
Grönpyrola
Jättesvampmal
Korallrot
Mindre märgborre
Nästlav
Plattlummer
Rostfläck
Rödgul trumpetsvamp
Spindelblomster
Stubbspretmossa
Thomsons trägnagare
Trådticka
Vedticka
Västlig hakmossa
Vågbandad barkbock
Zontaggsvamp
Linnea
Mattlummer
Nattskärra
Spillkråka
Tallört (aggregat)
Tjäder
Gröngöling
Havsörn
Trana
Törnskata
Åkergroda
Huggorm
Kopparödla
Mindre vattensalamander
Vanlig groda
Vanlig padda
Vanlig snok
Fläcknycklar
Revlummer</t>
        </is>
      </c>
      <c r="W7">
        <f>HYPERLINK("https://klasma.github.io/Logging_HANINGE_RESERVATSFORSLAG/artfynd/Norrbytorps naturreservat artfynd.xlsx", "Norrbytorps naturreservat")</f>
        <v/>
      </c>
      <c r="X7">
        <f>HYPERLINK("https://klasma.github.io/Logging_HANINGE_RESERVATSFORSLAG/kartor/Norrbytorps naturreservat karta.png", "Norrbytorps naturreservat")</f>
        <v/>
      </c>
      <c r="Y7">
        <f>HYPERLINK("https://klasma.github.io/Logging_HANINGE_RESERVATSFORSLAG/kartor_geotiff/Norrbytorps naturreservat georefererad karta.tif", "Norrbytorps naturreservat")</f>
        <v/>
      </c>
      <c r="Z7">
        <f>HYPERLINK("https://klasma.github.io/Logging_HANINGE_RESERVATSFORSLAG/knärot/Norrbytorps naturreservat karta knärot.png", "Norrbytorps naturreservat")</f>
        <v/>
      </c>
      <c r="AA7">
        <f>HYPERLINK("https://klasma.github.io/Logging_HANINGE_RESERVATSFORSLAG/klagomål/Norrbytorps naturreservat FSC-klagomål.docx", "Norrbytorps naturreservat")</f>
        <v/>
      </c>
      <c r="AB7">
        <f>HYPERLINK("https://klasma.github.io/Logging_HANINGE_RESERVATSFORSLAG/klagomålsmail/Norrbytorps naturreservat FSC-klagomål mail.docx", "Norrbytorps naturreservat")</f>
        <v/>
      </c>
      <c r="AC7">
        <f>HYPERLINK("https://klasma.github.io/Logging_HANINGE_RESERVATSFORSLAG/tillsyn/Norrbytorps naturreservat tillsynsbegäran.docx", "Norrbytorps naturreservat")</f>
        <v/>
      </c>
      <c r="AD7">
        <f>HYPERLINK("https://klasma.github.io/Logging_HANINGE_RESERVATSFORSLAG/tillsynsmail/Norrbytorps naturreservat tillsynsbegäran mail.docx", "Norrbytorps naturreservat")</f>
        <v/>
      </c>
      <c r="AE7">
        <f>HYPERLINK("https://klasma.github.io/Logging_HANINGE_RESERVATSFORSLAG/fåglar/Norrbytorps naturreservat prioriterade fågelarter.docx", "Norrbytorps naturreservat")</f>
        <v/>
      </c>
    </row>
    <row r="8" ht="15" customHeight="1">
      <c r="A8" t="inlineStr">
        <is>
          <t>Breviksnäs</t>
        </is>
      </c>
      <c r="B8" t="inlineStr">
        <is>
          <t>avverkningsanmälan</t>
        </is>
      </c>
      <c r="D8" s="1" t="n">
        <v>46227</v>
      </c>
      <c r="E8" s="1" t="n">
        <v>46227</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Tyresta naturreservat med skogsbruk</t>
        </is>
      </c>
      <c r="B9" t="inlineStr">
        <is>
          <t>avverkningsanmälan</t>
        </is>
      </c>
      <c r="D9" s="1" t="n">
        <v>46227</v>
      </c>
      <c r="E9" s="1" t="n">
        <v>46227</v>
      </c>
      <c r="F9" t="inlineStr">
        <is>
          <t>Stockholms län</t>
        </is>
      </c>
      <c r="G9" t="inlineStr">
        <is>
          <t>Haninge</t>
        </is>
      </c>
      <c r="I9" t="n">
        <v>237.7</v>
      </c>
      <c r="J9" t="n">
        <v>26</v>
      </c>
      <c r="K9" t="n">
        <v>15</v>
      </c>
      <c r="L9" t="n">
        <v>25</v>
      </c>
      <c r="M9" t="n">
        <v>10</v>
      </c>
      <c r="N9" t="n">
        <v>2</v>
      </c>
      <c r="O9" t="n">
        <v>0</v>
      </c>
      <c r="P9" t="n">
        <v>0</v>
      </c>
      <c r="Q9" t="n">
        <v>37</v>
      </c>
      <c r="R9" t="n">
        <v>12</v>
      </c>
      <c r="S9" t="n">
        <v>70</v>
      </c>
      <c r="T9" t="n">
        <v>530</v>
      </c>
      <c r="U9" t="n">
        <v>0</v>
      </c>
      <c r="V9"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Skogshare
Svartvit taggsvamp
Svedjenäva
Sårläka
Tallkötticka
Tallticka
Talltita
Tjockfotad fingersvamp
Ullticka
Vedskivlav
Vedtrappmossa
Vintertagging
Älg
Blodticka
Blomkålssvamp
Brandticka
Grovticka
Grön sköldmossa
Grönpyrola
Kambräken
Kamjordstjärna
Korallrot
Mindre märgborre
Plattlummer
Rödgul trumpetsvamp
Spindelblomster
Vedticka
Vätteros
Linnea
Mattlummer
Nattskärra
Spillkråka
Tjäder
Tofsmes
Havsörn
Kungsfågel
Trädlärka
Huggorm
Kopparödla
Mindre vattensalamander
Vanlig groda
Vanlig padda
Vanlig snok
Fläcknycklar
Lopplummer (aggregat)
Revlummer</t>
        </is>
      </c>
      <c r="W9">
        <f>HYPERLINK("https://klasma.github.io/Logging_HANINGE_RESERVATSFORSLAG/artfynd/Tyresta naturreservat med skogsbruk artfynd.xlsx", "Tyresta naturreservat med skogsbruk")</f>
        <v/>
      </c>
      <c r="X9">
        <f>HYPERLINK("https://klasma.github.io/Logging_HANINGE_RESERVATSFORSLAG/kartor/Tyresta naturreservat med skogsbruk karta.png", "Tyresta naturreservat med skogsbruk")</f>
        <v/>
      </c>
      <c r="Y9">
        <f>HYPERLINK("https://klasma.github.io/Logging_HANINGE_RESERVATSFORSLAG/kartor_geotiff/Tyresta naturreservat med skogsbruk georefererad karta.tif", "Tyresta naturreservat med skogsbruk")</f>
        <v/>
      </c>
      <c r="Z9">
        <f>HYPERLINK("https://klasma.github.io/Logging_HANINGE_RESERVATSFORSLAG/knärot/Tyresta naturreservat med skogsbruk karta knärot.png", "Tyresta naturreservat med skogsbruk")</f>
        <v/>
      </c>
      <c r="AA9">
        <f>HYPERLINK("https://klasma.github.io/Logging_HANINGE_RESERVATSFORSLAG/klagomål/Tyresta naturreservat med skogsbruk FSC-klagomål.docx", "Tyresta naturreservat med skogsbruk")</f>
        <v/>
      </c>
      <c r="AB9">
        <f>HYPERLINK("https://klasma.github.io/Logging_HANINGE_RESERVATSFORSLAG/klagomålsmail/Tyresta naturreservat med skogsbruk FSC-klagomål mail.docx", "Tyresta naturreservat med skogsbruk")</f>
        <v/>
      </c>
      <c r="AC9">
        <f>HYPERLINK("https://klasma.github.io/Logging_HANINGE_RESERVATSFORSLAG/tillsyn/Tyresta naturreservat med skogsbruk tillsynsbegäran.docx", "Tyresta naturreservat med skogsbruk")</f>
        <v/>
      </c>
      <c r="AD9">
        <f>HYPERLINK("https://klasma.github.io/Logging_HANINGE_RESERVATSFORSLAG/tillsynsmail/Tyresta naturreservat med skogsbruk tillsynsbegäran mail.docx", "Tyresta naturreservat med skogsbruk")</f>
        <v/>
      </c>
      <c r="AE9">
        <f>HYPERLINK("https://klasma.github.io/Logging_HANINGE_RESERVATSFORSLAG/fåglar/Tyresta naturreservat med skogsbruk prioriterade fågelarter.docx", "Tyresta naturreservat med skogsbruk")</f>
        <v/>
      </c>
    </row>
    <row r="10" ht="15" customHeight="1">
      <c r="A10" t="inlineStr">
        <is>
          <t>Norra skogen</t>
        </is>
      </c>
      <c r="B10" t="inlineStr">
        <is>
          <t>avverkningsanmälan</t>
        </is>
      </c>
      <c r="D10" s="1" t="n">
        <v>46227</v>
      </c>
      <c r="E10" s="1" t="n">
        <v>46227</v>
      </c>
      <c r="F10" t="inlineStr">
        <is>
          <t>Stockholms län</t>
        </is>
      </c>
      <c r="G10" t="inlineStr">
        <is>
          <t>Haninge</t>
        </is>
      </c>
      <c r="I10" t="n">
        <v>403.2</v>
      </c>
      <c r="J10" t="n">
        <v>25</v>
      </c>
      <c r="K10" t="n">
        <v>25</v>
      </c>
      <c r="L10" t="n">
        <v>25</v>
      </c>
      <c r="M10" t="n">
        <v>3</v>
      </c>
      <c r="N10" t="n">
        <v>1</v>
      </c>
      <c r="O10" t="n">
        <v>0</v>
      </c>
      <c r="P10" t="n">
        <v>0</v>
      </c>
      <c r="Q10" t="n">
        <v>29</v>
      </c>
      <c r="R10" t="n">
        <v>4</v>
      </c>
      <c r="S10" t="n">
        <v>68</v>
      </c>
      <c r="T10" t="n">
        <v>423</v>
      </c>
      <c r="U10" t="n">
        <v>0</v>
      </c>
      <c r="V10"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t>
        </is>
      </c>
      <c r="W10">
        <f>HYPERLINK("https://klasma.github.io/Logging_HANINGE_RESERVATSFORSLAG/artfynd/Norra skogen artfynd.xlsx", "Norra skogen")</f>
        <v/>
      </c>
      <c r="X10">
        <f>HYPERLINK("https://klasma.github.io/Logging_HANINGE_RESERVATSFORSLAG/kartor/Norra skogen karta.png", "Norra skogen")</f>
        <v/>
      </c>
      <c r="Y10">
        <f>HYPERLINK("https://klasma.github.io/Logging_HANINGE_RESERVATSFORSLAG/kartor_geotiff/Norra skogen georefererad karta.tif", "Norra skogen")</f>
        <v/>
      </c>
      <c r="AA10">
        <f>HYPERLINK("https://klasma.github.io/Logging_HANINGE_RESERVATSFORSLAG/klagomål/Norra skogen FSC-klagomål.docx", "Norra skogen")</f>
        <v/>
      </c>
      <c r="AB10">
        <f>HYPERLINK("https://klasma.github.io/Logging_HANINGE_RESERVATSFORSLAG/klagomålsmail/Norra skogen FSC-klagomål mail.docx", "Norra skogen")</f>
        <v/>
      </c>
      <c r="AC10">
        <f>HYPERLINK("https://klasma.github.io/Logging_HANINGE_RESERVATSFORSLAG/tillsyn/Norra skogen tillsynsbegäran.docx", "Norra skogen")</f>
        <v/>
      </c>
      <c r="AD10">
        <f>HYPERLINK("https://klasma.github.io/Logging_HANINGE_RESERVATSFORSLAG/tillsynsmail/Norra skogen tillsynsbegäran mail.docx", "Norra skogen")</f>
        <v/>
      </c>
      <c r="AE10">
        <f>HYPERLINK("https://klasma.github.io/Logging_HANINGE_RESERVATSFORSLAG/fåglar/Norra skogen prioriterade fågelarter.docx", "Norra skogen")</f>
        <v/>
      </c>
    </row>
    <row r="11" ht="15" customHeight="1">
      <c r="A11" t="inlineStr">
        <is>
          <t>Lervassa träsk naturreservat</t>
        </is>
      </c>
      <c r="B11" t="inlineStr">
        <is>
          <t>avverkningsanmälan</t>
        </is>
      </c>
      <c r="D11" s="1" t="n">
        <v>46227</v>
      </c>
      <c r="E11" s="1" t="n">
        <v>46227</v>
      </c>
      <c r="F11" t="inlineStr">
        <is>
          <t>Stockholms län</t>
        </is>
      </c>
      <c r="G11" t="inlineStr">
        <is>
          <t>Haninge</t>
        </is>
      </c>
      <c r="I11" t="n">
        <v>168.3</v>
      </c>
      <c r="J11" t="n">
        <v>20</v>
      </c>
      <c r="K11" t="n">
        <v>15</v>
      </c>
      <c r="L11" t="n">
        <v>27</v>
      </c>
      <c r="M11" t="n">
        <v>8</v>
      </c>
      <c r="N11" t="n">
        <v>2</v>
      </c>
      <c r="O11" t="n">
        <v>0</v>
      </c>
      <c r="P11" t="n">
        <v>0</v>
      </c>
      <c r="Q11" t="n">
        <v>37</v>
      </c>
      <c r="R11" t="n">
        <v>10</v>
      </c>
      <c r="S11" t="n">
        <v>67</v>
      </c>
      <c r="T11" t="n">
        <v>781</v>
      </c>
      <c r="U11" t="n">
        <v>0</v>
      </c>
      <c r="V11"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Granbarkgnagare
Grovticka
Grön sköldmossa
Grönpyrola
Mindre märgborre
Rödgul trumpetsvamp
Stekelbock
Stor aspticka
Stubbspretmossa
Vedticka
Vågbandad barkbock
Blåsippa
Spillkråka
Tjäder
Fiskgjuse
Gröngöling
Havsörn
Kungsfågel
Orre
Huggorm
Kopparödla
Mindre vattensalamander
Vanlig groda
Vanlig padda
Fläcknycklar
Revlummer</t>
        </is>
      </c>
      <c r="W11">
        <f>HYPERLINK("https://klasma.github.io/Logging_HANINGE_RESERVATSFORSLAG/artfynd/Lervassa träsk naturreservat artfynd.xlsx", "Lervassa träsk naturreservat")</f>
        <v/>
      </c>
      <c r="X11">
        <f>HYPERLINK("https://klasma.github.io/Logging_HANINGE_RESERVATSFORSLAG/kartor/Lervassa träsk naturreservat karta.png", "Lervassa träsk naturreservat")</f>
        <v/>
      </c>
      <c r="Y11">
        <f>HYPERLINK("https://klasma.github.io/Logging_HANINGE_RESERVATSFORSLAG/kartor_geotiff/Lervassa träsk naturreservat georefererad karta.tif", "Lervassa träsk naturreservat")</f>
        <v/>
      </c>
      <c r="AA11">
        <f>HYPERLINK("https://klasma.github.io/Logging_HANINGE_RESERVATSFORSLAG/klagomål/Lervassa träsk naturreservat FSC-klagomål.docx", "Lervassa träsk naturreservat")</f>
        <v/>
      </c>
      <c r="AB11">
        <f>HYPERLINK("https://klasma.github.io/Logging_HANINGE_RESERVATSFORSLAG/klagomålsmail/Lervassa träsk naturreservat FSC-klagomål mail.docx", "Lervassa träsk naturreservat")</f>
        <v/>
      </c>
      <c r="AC11">
        <f>HYPERLINK("https://klasma.github.io/Logging_HANINGE_RESERVATSFORSLAG/tillsyn/Lervassa träsk naturreservat tillsynsbegäran.docx", "Lervassa träsk naturreservat")</f>
        <v/>
      </c>
      <c r="AD11">
        <f>HYPERLINK("https://klasma.github.io/Logging_HANINGE_RESERVATSFORSLAG/tillsynsmail/Lervassa träsk naturreservat tillsynsbegäran mail.docx", "Lervassa träsk naturreservat")</f>
        <v/>
      </c>
      <c r="AE11">
        <f>HYPERLINK("https://klasma.github.io/Logging_HANINGE_RESERVATSFORSLAG/fåglar/Lervassa träsk naturreservat prioriterade fågelarter.docx", "Lervassa träsk naturreservat")</f>
        <v/>
      </c>
    </row>
    <row r="12" ht="15" customHeight="1">
      <c r="A12" t="inlineStr">
        <is>
          <t>Örans naturreservat</t>
        </is>
      </c>
      <c r="B12" t="inlineStr">
        <is>
          <t>avverkningsanmälan</t>
        </is>
      </c>
      <c r="D12" s="1" t="n">
        <v>46227</v>
      </c>
      <c r="E12" s="1" t="n">
        <v>46227</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46227</v>
      </c>
      <c r="E13" s="1" t="n">
        <v>46227</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46227</v>
      </c>
      <c r="E14" s="1" t="n">
        <v>46227</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230</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Tutvikskogens naturreservat</t>
        </is>
      </c>
      <c r="B15" t="inlineStr">
        <is>
          <t>avverkningsanmälan</t>
        </is>
      </c>
      <c r="D15" s="1" t="n">
        <v>46227</v>
      </c>
      <c r="E15" s="1" t="n">
        <v>46227</v>
      </c>
      <c r="F15" t="inlineStr">
        <is>
          <t>Stockholms län</t>
        </is>
      </c>
      <c r="G15" t="inlineStr">
        <is>
          <t>Haninge</t>
        </is>
      </c>
      <c r="I15" t="n">
        <v>194.2</v>
      </c>
      <c r="J15" t="n">
        <v>14</v>
      </c>
      <c r="K15" t="n">
        <v>14</v>
      </c>
      <c r="L15" t="n">
        <v>16</v>
      </c>
      <c r="M15" t="n">
        <v>9</v>
      </c>
      <c r="N15" t="n">
        <v>0</v>
      </c>
      <c r="O15" t="n">
        <v>0</v>
      </c>
      <c r="P15" t="n">
        <v>0</v>
      </c>
      <c r="Q15" t="n">
        <v>25</v>
      </c>
      <c r="R15" t="n">
        <v>9</v>
      </c>
      <c r="S15" t="n">
        <v>49</v>
      </c>
      <c r="T15" t="n">
        <v>352</v>
      </c>
      <c r="U15" t="n">
        <v>0</v>
      </c>
      <c r="V15"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5">
        <f>HYPERLINK("https://klasma.github.io/Logging_HANINGE_RESERVATSFORSLAG/artfynd/Tutvikskogens naturreservat artfynd.xlsx", "Tutvikskogens naturreservat")</f>
        <v/>
      </c>
      <c r="X15">
        <f>HYPERLINK("https://klasma.github.io/Logging_HANINGE_RESERVATSFORSLAG/kartor/Tutvikskogens naturreservat karta.png", "Tutvikskogens naturreservat")</f>
        <v/>
      </c>
      <c r="Y15">
        <f>HYPERLINK("https://klasma.github.io/Logging_HANINGE_RESERVATSFORSLAG/kartor_geotiff/Tutvikskogens naturreservat georefererad karta.tif", "Tutvikskogens naturreservat")</f>
        <v/>
      </c>
      <c r="Z15">
        <f>HYPERLINK("https://klasma.github.io/Logging_HANINGE_RESERVATSFORSLAG/knärot/Tutvikskogens naturreservat karta knärot.png", "Tutvikskogens naturreservat")</f>
        <v/>
      </c>
      <c r="AA15">
        <f>HYPERLINK("https://klasma.github.io/Logging_HANINGE_RESERVATSFORSLAG/klagomål/Tutvikskogens naturreservat FSC-klagomål.docx", "Tutvikskogens naturreservat")</f>
        <v/>
      </c>
      <c r="AB15">
        <f>HYPERLINK("https://klasma.github.io/Logging_HANINGE_RESERVATSFORSLAG/klagomålsmail/Tutvikskogens naturreservat FSC-klagomål mail.docx", "Tutvikskogens naturreservat")</f>
        <v/>
      </c>
      <c r="AC15">
        <f>HYPERLINK("https://klasma.github.io/Logging_HANINGE_RESERVATSFORSLAG/tillsyn/Tutvikskogens naturreservat tillsynsbegäran.docx", "Tutvikskogens naturreservat")</f>
        <v/>
      </c>
      <c r="AD15">
        <f>HYPERLINK("https://klasma.github.io/Logging_HANINGE_RESERVATSFORSLAG/tillsynsmail/Tutvikskogens naturreservat tillsynsbegäran mail.docx", "Tutvikskogens naturreservat")</f>
        <v/>
      </c>
      <c r="AE15">
        <f>HYPERLINK("https://klasma.github.io/Logging_HANINGE_RESERVATSFORSLAG/fåglar/Tutvikskogens naturreservat prioriterade fågelarter.docx", "Tutvikskogens naturreservat")</f>
        <v/>
      </c>
    </row>
    <row r="16" ht="15" customHeight="1">
      <c r="A16" t="inlineStr">
        <is>
          <t>Norrbytorps naturreservat söder</t>
        </is>
      </c>
      <c r="B16" t="inlineStr">
        <is>
          <t>avverkningsanmälan</t>
        </is>
      </c>
      <c r="D16" s="1" t="n">
        <v>46227</v>
      </c>
      <c r="E16" s="1" t="n">
        <v>46227</v>
      </c>
      <c r="F16" t="inlineStr">
        <is>
          <t>Stockholms län</t>
        </is>
      </c>
      <c r="G16" t="inlineStr">
        <is>
          <t>Haninge</t>
        </is>
      </c>
      <c r="I16" t="n">
        <v>128</v>
      </c>
      <c r="J16" t="n">
        <v>19</v>
      </c>
      <c r="K16" t="n">
        <v>7</v>
      </c>
      <c r="L16" t="n">
        <v>19</v>
      </c>
      <c r="M16" t="n">
        <v>8</v>
      </c>
      <c r="N16" t="n">
        <v>1</v>
      </c>
      <c r="O16" t="n">
        <v>0</v>
      </c>
      <c r="P16" t="n">
        <v>0</v>
      </c>
      <c r="Q16" t="n">
        <v>28</v>
      </c>
      <c r="R16" t="n">
        <v>9</v>
      </c>
      <c r="S16" t="n">
        <v>48</v>
      </c>
      <c r="T16" t="n">
        <v>280</v>
      </c>
      <c r="U16" t="n">
        <v>0</v>
      </c>
      <c r="V16" s="2" t="inlineStr">
        <is>
          <t>Hornuggla
Brunfläckig pärlemorfjäril
Garnlav
Goliatmusseron
Igelkott
Jättemusseron
Knärot
Lakritsmusseron
Skrovlig taggsvamp
Adam och eva
Apelsinticka
Blå taggsvamp
Brunklöver
Dropptaggsvamp
Gullklöver
Krusfrö
Motaggsvamp
Orange taggsvamp
Skogshare
Skogsklocka
Svartvit taggsvamp
Tallkötticka
Tallriska
Tallticka
Talltita
Tjockfotad fingersvamp
Ullticka
Vintertagging
Blodticka
Grovticka
Grön sköldmossa
Grönpyrola
Mindre märgborre
Plattlummer
Vedticka
Blåsippa
Mattlummer
Nattskärra
Tallbit
Havsörn
Kungsfågel
Törnskata
Huggorm
Vanlig padda
Fläcknycklar
Nattviol
Lopplummer (aggregat)
Äkta lopplummer</t>
        </is>
      </c>
      <c r="W16">
        <f>HYPERLINK("https://klasma.github.io/Logging_HANINGE_RESERVATSFORSLAG/artfynd/Norrbytorps naturreservat söder artfynd.xlsx", "Norrbytorps naturreservat söder")</f>
        <v/>
      </c>
      <c r="X16">
        <f>HYPERLINK("https://klasma.github.io/Logging_HANINGE_RESERVATSFORSLAG/kartor/Norrbytorps naturreservat söder karta.png", "Norrbytorps naturreservat söder")</f>
        <v/>
      </c>
      <c r="Y16">
        <f>HYPERLINK("https://klasma.github.io/Logging_HANINGE_RESERVATSFORSLAG/kartor_geotiff/Norrbytorps naturreservat söder georefererad karta.tif", "Norrbytorps naturreservat söder")</f>
        <v/>
      </c>
      <c r="Z16">
        <f>HYPERLINK("https://klasma.github.io/Logging_HANINGE_RESERVATSFORSLAG/knärot/Norrbytorps naturreservat söder karta knärot.png", "Norrbytorps naturreservat söder")</f>
        <v/>
      </c>
      <c r="AA16">
        <f>HYPERLINK("https://klasma.github.io/Logging_HANINGE_RESERVATSFORSLAG/klagomål/Norrbytorps naturreservat söder FSC-klagomål.docx", "Norrbytorps naturreservat söder")</f>
        <v/>
      </c>
      <c r="AB16">
        <f>HYPERLINK("https://klasma.github.io/Logging_HANINGE_RESERVATSFORSLAG/klagomålsmail/Norrbytorps naturreservat söder FSC-klagomål mail.docx", "Norrbytorps naturreservat söder")</f>
        <v/>
      </c>
      <c r="AC16">
        <f>HYPERLINK("https://klasma.github.io/Logging_HANINGE_RESERVATSFORSLAG/tillsyn/Norrbytorps naturreservat söder tillsynsbegäran.docx", "Norrbytorps naturreservat söder")</f>
        <v/>
      </c>
      <c r="AD16">
        <f>HYPERLINK("https://klasma.github.io/Logging_HANINGE_RESERVATSFORSLAG/tillsynsmail/Norrbytorps naturreservat söder tillsynsbegäran mail.docx", "Norrbytorps naturreservat söder")</f>
        <v/>
      </c>
      <c r="AE16">
        <f>HYPERLINK("https://klasma.github.io/Logging_HANINGE_RESERVATSFORSLAG/fåglar/Norrbytorps naturreservat söder prioriterade fågelarter.docx", "Norrbytorps naturreservat söder")</f>
        <v/>
      </c>
    </row>
    <row r="17" ht="15" customHeight="1">
      <c r="A17" t="inlineStr">
        <is>
          <t>Kapellöns naturreservat</t>
        </is>
      </c>
      <c r="B17" t="inlineStr">
        <is>
          <t>avverkningsanmälan</t>
        </is>
      </c>
      <c r="D17" s="1" t="n">
        <v>46227</v>
      </c>
      <c r="E17" s="1" t="n">
        <v>46227</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46227</v>
      </c>
      <c r="E18" s="1" t="n">
        <v>46227</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46227</v>
      </c>
      <c r="E19" s="1" t="n">
        <v>46227</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46227</v>
      </c>
      <c r="E20" s="1" t="n">
        <v>46227</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46227</v>
      </c>
      <c r="E21" s="1" t="n">
        <v>46227</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Öster om Norra skogens naturreservat</t>
        </is>
      </c>
      <c r="B22" t="inlineStr">
        <is>
          <t>avverkningsanmälan</t>
        </is>
      </c>
      <c r="D22" s="1" t="n">
        <v>46227</v>
      </c>
      <c r="E22" s="1" t="n">
        <v>46227</v>
      </c>
      <c r="F22" t="inlineStr">
        <is>
          <t>Stockholms län</t>
        </is>
      </c>
      <c r="G22" t="inlineStr">
        <is>
          <t>Haninge</t>
        </is>
      </c>
      <c r="I22" t="n">
        <v>102.1</v>
      </c>
      <c r="J22" t="n">
        <v>3</v>
      </c>
      <c r="K22" t="n">
        <v>1</v>
      </c>
      <c r="L22" t="n">
        <v>1</v>
      </c>
      <c r="M22" t="n">
        <v>0</v>
      </c>
      <c r="N22" t="n">
        <v>0</v>
      </c>
      <c r="O22" t="n">
        <v>0</v>
      </c>
      <c r="P22" t="n">
        <v>0</v>
      </c>
      <c r="Q22" t="n">
        <v>1</v>
      </c>
      <c r="R22" t="n">
        <v>0</v>
      </c>
      <c r="S22" t="n">
        <v>4</v>
      </c>
      <c r="T22" t="n">
        <v>5</v>
      </c>
      <c r="U22" t="n">
        <v>0</v>
      </c>
      <c r="V22" s="2" t="inlineStr">
        <is>
          <t>Sårläka
Nästrot
Tjäder
Fläcknycklar</t>
        </is>
      </c>
      <c r="W22">
        <f>HYPERLINK("https://klasma.github.io/Logging_HANINGE_RESERVATSFORSLAG/artfynd/Öster om Norra skogens naturreservat artfynd.xlsx", "Öster om Norra skogens naturreservat")</f>
        <v/>
      </c>
      <c r="X22">
        <f>HYPERLINK("https://klasma.github.io/Logging_HANINGE_RESERVATSFORSLAG/kartor/Öster om Norra skogens naturreservat karta.png", "Öster om Norra skogens naturreservat")</f>
        <v/>
      </c>
      <c r="Y22">
        <f>HYPERLINK("https://klasma.github.io/Logging_HANINGE_RESERVATSFORSLAG/kartor_geotiff/Öster om Norra skogens naturreservat georefererad karta.tif", "Öster om Norra skogens naturreservat")</f>
        <v/>
      </c>
      <c r="AA22">
        <f>HYPERLINK("https://klasma.github.io/Logging_HANINGE_RESERVATSFORSLAG/klagomål/Öster om Norra skogens naturreservat FSC-klagomål.docx", "Öster om Norra skogens naturreservat")</f>
        <v/>
      </c>
      <c r="AB22">
        <f>HYPERLINK("https://klasma.github.io/Logging_HANINGE_RESERVATSFORSLAG/klagomålsmail/Öster om Norra skogens naturreservat FSC-klagomål mail.docx", "Öster om Norra skogens naturreservat")</f>
        <v/>
      </c>
      <c r="AC22">
        <f>HYPERLINK("https://klasma.github.io/Logging_HANINGE_RESERVATSFORSLAG/tillsyn/Öster om Norra skogens naturreservat tillsynsbegäran.docx", "Öster om Norra skogens naturreservat")</f>
        <v/>
      </c>
      <c r="AD22">
        <f>HYPERLINK("https://klasma.github.io/Logging_HANINGE_RESERVATSFORSLAG/tillsynsmail/Öster om Norra skogens naturreservat tillsynsbegäran mail.docx", "Öster om Norra skogens naturreservat")</f>
        <v/>
      </c>
      <c r="AE22">
        <f>HYPERLINK("https://klasma.github.io/Logging_HANINGE_RESERVATSFORSLAG/fåglar/Öster om Norra skogens naturreservat prioriterade fågelarter.docx", "Öster om Norra skogens naturreservat")</f>
        <v/>
      </c>
    </row>
    <row r="23">
      <c r="A23" t="inlineStr">
        <is>
          <t>Grytholmens naturreservat</t>
        </is>
      </c>
      <c r="B23" t="inlineStr">
        <is>
          <t>avverkningsanmälan</t>
        </is>
      </c>
      <c r="D23" s="1" t="n">
        <v>46227</v>
      </c>
      <c r="E23" s="1" t="n">
        <v>46227</v>
      </c>
      <c r="F23" t="inlineStr">
        <is>
          <t>Stockholms län</t>
        </is>
      </c>
      <c r="G23" t="inlineStr">
        <is>
          <t>Haninge</t>
        </is>
      </c>
      <c r="H23" t="inlineStr">
        <is>
          <t>Kommuner</t>
        </is>
      </c>
      <c r="I23" t="n">
        <v>33</v>
      </c>
      <c r="J23" t="n">
        <v>2</v>
      </c>
      <c r="K23" t="n">
        <v>0</v>
      </c>
      <c r="L23" t="n">
        <v>2</v>
      </c>
      <c r="M23" t="n">
        <v>0</v>
      </c>
      <c r="N23" t="n">
        <v>0</v>
      </c>
      <c r="O23" t="n">
        <v>0</v>
      </c>
      <c r="P23" t="n">
        <v>0</v>
      </c>
      <c r="Q23" t="n">
        <v>2</v>
      </c>
      <c r="R23" t="n">
        <v>0</v>
      </c>
      <c r="S23" t="n">
        <v>3</v>
      </c>
      <c r="T23" t="n">
        <v>3</v>
      </c>
      <c r="U23" t="n">
        <v>0</v>
      </c>
      <c r="V23" s="2" t="inlineStr">
        <is>
          <t>Adam och eva
Solvända
Grönvit nattviol</t>
        </is>
      </c>
      <c r="W23">
        <f>HYPERLINK("https://klasma.github.io/Logging_HANINGE_RESERVATSFORSLAG/artfynd/Grytholmens naturreservat artfynd.xlsx", "Grytholmens naturreservat")</f>
        <v/>
      </c>
      <c r="X23">
        <f>HYPERLINK("https://klasma.github.io/Logging_HANINGE_RESERVATSFORSLAG/kartor/Grytholmens naturreservat karta.png", "Grytholmens naturreservat")</f>
        <v/>
      </c>
      <c r="Y23">
        <f>HYPERLINK("https://klasma.github.io/Logging_HANINGE_RESERVATSFORSLAG/kartor_geotiff/Grytholmens naturreservat georefererad karta.tif", "Grytholmens naturreservat")</f>
        <v/>
      </c>
      <c r="AA23">
        <f>HYPERLINK("https://klasma.github.io/Logging_HANINGE_RESERVATSFORSLAG/klagomål/Grytholmens naturreservat FSC-klagomål.docx", "Grytholmens naturreservat")</f>
        <v/>
      </c>
      <c r="AB23">
        <f>HYPERLINK("https://klasma.github.io/Logging_HANINGE_RESERVATSFORSLAG/klagomålsmail/Grytholmens naturreservat FSC-klagomål mail.docx", "Grytholmens naturreservat")</f>
        <v/>
      </c>
      <c r="AC23">
        <f>HYPERLINK("https://klasma.github.io/Logging_HANINGE_RESERVATSFORSLAG/tillsyn/Grytholmens naturreservat tillsynsbegäran.docx", "Grytholmens naturreservat")</f>
        <v/>
      </c>
      <c r="AD23">
        <f>HYPERLINK("https://klasma.github.io/Logging_HANINGE_RESERVATSFORSLAG/tillsynsmail/Grytholmens naturreservat tillsynsbegäran mail.docx", "Grytholmens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2026-07-24T03:09:51Z</dcterms:created>
  <dcterms:modified xmlns:dcterms="http://purl.org/dc/terms/" xmlns:xsi="http://www.w3.org/2001/XMLSchema-instance" xsi:type="dcterms:W3CDTF">2026-07-24T03:09:51Z</dcterms:modified>
</cp:coreProperties>
</file>