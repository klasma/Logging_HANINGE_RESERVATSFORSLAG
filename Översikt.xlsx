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Ramsjöns naturreservat</t>
        </is>
      </c>
      <c r="B2" t="inlineStr">
        <is>
          <t>avverkningsanmälan</t>
        </is>
      </c>
      <c r="D2" s="1" t="n">
        <v>46220</v>
      </c>
      <c r="E2" s="1" t="n">
        <v>46220</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V2">
        <f>HYPERLINK("https://klasma.github.io/Logging_HANINGE_RESERVATSFORSLAG/artfynd/Ramsjöns naturreservat artfynd.xlsx", "Ramsjöns naturreservat")</f>
        <v/>
      </c>
      <c r="W2">
        <f>HYPERLINK("https://klasma.github.io/Logging_HANINGE_RESERVATSFORSLAG/kartor/Ramsjöns naturreservat karta.png", "Ramsjöns naturreservat")</f>
        <v/>
      </c>
      <c r="X2">
        <f>HYPERLINK("https://klasma.github.io/Logging_HANINGE_RESERVATSFORSLAG/knärot/Ramsjöns naturreservat karta knärot.png", "Ramsjöns naturreservat")</f>
        <v/>
      </c>
      <c r="Y2">
        <f>HYPERLINK("https://klasma.github.io/Logging_HANINGE_RESERVATSFORSLAG/klagomål/Ramsjöns naturreservat FSC-klagomål.docx", "Ramsjöns naturreservat")</f>
        <v/>
      </c>
      <c r="Z2">
        <f>HYPERLINK("https://klasma.github.io/Logging_HANINGE_RESERVATSFORSLAG/klagomålsmail/Ramsjöns naturreservat FSC-klagomål mail.docx", "Ramsjöns naturreservat")</f>
        <v/>
      </c>
      <c r="AA2">
        <f>HYPERLINK("https://klasma.github.io/Logging_HANINGE_RESERVATSFORSLAG/tillsyn/Ramsjöns naturreservat tillsynsbegäran.docx", "Ramsjöns naturreservat")</f>
        <v/>
      </c>
      <c r="AB2">
        <f>HYPERLINK("https://klasma.github.io/Logging_HANINGE_RESERVATSFORSLAG/tillsynsmail/Ramsjöns naturreservat tillsynsbegäran mail.docx", "Ramsjöns naturreservat")</f>
        <v/>
      </c>
      <c r="AC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46220</v>
      </c>
      <c r="E3" s="1" t="n">
        <v>46220</v>
      </c>
      <c r="F3" t="inlineStr">
        <is>
          <t>Stockholms län</t>
        </is>
      </c>
      <c r="G3" t="inlineStr">
        <is>
          <t>Haninge</t>
        </is>
      </c>
      <c r="I3" t="n">
        <v>415</v>
      </c>
      <c r="J3" t="n">
        <v>41</v>
      </c>
      <c r="K3" t="n">
        <v>45</v>
      </c>
      <c r="L3" t="n">
        <v>50</v>
      </c>
      <c r="M3" t="n">
        <v>25</v>
      </c>
      <c r="N3" t="n">
        <v>5</v>
      </c>
      <c r="O3" t="n">
        <v>0</v>
      </c>
      <c r="P3" t="n">
        <v>0</v>
      </c>
      <c r="Q3" t="n">
        <v>80</v>
      </c>
      <c r="R3" t="n">
        <v>30</v>
      </c>
      <c r="S3" t="n">
        <v>153</v>
      </c>
      <c r="T3" t="n">
        <v>1236</v>
      </c>
      <c r="U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V3">
        <f>HYPERLINK("https://klasma.github.io/Logging_HANINGE_RESERVATSFORSLAG/artfynd/Högstaskogens naturreservat artfynd.xlsx", "Högstaskogens naturreservat")</f>
        <v/>
      </c>
      <c r="W3">
        <f>HYPERLINK("https://klasma.github.io/Logging_HANINGE_RESERVATSFORSLAG/kartor/Högstaskogens naturreservat karta.png", "Högstaskogens naturreservat")</f>
        <v/>
      </c>
      <c r="X3">
        <f>HYPERLINK("https://klasma.github.io/Logging_HANINGE_RESERVATSFORSLAG/knärot/Högstaskogens naturreservat karta knärot.png", "Högstaskogens naturreservat")</f>
        <v/>
      </c>
      <c r="Y3">
        <f>HYPERLINK("https://klasma.github.io/Logging_HANINGE_RESERVATSFORSLAG/klagomål/Högstaskogens naturreservat FSC-klagomål.docx", "Högstaskogens naturreservat")</f>
        <v/>
      </c>
      <c r="Z3">
        <f>HYPERLINK("https://klasma.github.io/Logging_HANINGE_RESERVATSFORSLAG/klagomålsmail/Högstaskogens naturreservat FSC-klagomål mail.docx", "Högstaskogens naturreservat")</f>
        <v/>
      </c>
      <c r="AA3">
        <f>HYPERLINK("https://klasma.github.io/Logging_HANINGE_RESERVATSFORSLAG/tillsyn/Högstaskogens naturreservat tillsynsbegäran.docx", "Högstaskogens naturreservat")</f>
        <v/>
      </c>
      <c r="AB3">
        <f>HYPERLINK("https://klasma.github.io/Logging_HANINGE_RESERVATSFORSLAG/tillsynsmail/Högstaskogens naturreservat tillsynsbegäran mail.docx", "Högstaskogens naturreservat")</f>
        <v/>
      </c>
      <c r="AC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46220</v>
      </c>
      <c r="E4" s="1" t="n">
        <v>46220</v>
      </c>
      <c r="F4" t="inlineStr">
        <is>
          <t>Stockholms län</t>
        </is>
      </c>
      <c r="G4" t="inlineStr">
        <is>
          <t>Haninge</t>
        </is>
      </c>
      <c r="I4" t="n">
        <v>450.6</v>
      </c>
      <c r="J4" t="n">
        <v>25</v>
      </c>
      <c r="K4" t="n">
        <v>58</v>
      </c>
      <c r="L4" t="n">
        <v>34</v>
      </c>
      <c r="M4" t="n">
        <v>10</v>
      </c>
      <c r="N4" t="n">
        <v>5</v>
      </c>
      <c r="O4" t="n">
        <v>0</v>
      </c>
      <c r="P4" t="n">
        <v>0</v>
      </c>
      <c r="Q4" t="n">
        <v>50</v>
      </c>
      <c r="R4" t="n">
        <v>15</v>
      </c>
      <c r="S4" t="n">
        <v>120</v>
      </c>
      <c r="T4" t="n">
        <v>443</v>
      </c>
      <c r="U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V4">
        <f>HYPERLINK("https://klasma.github.io/Logging_HANINGE_RESERVATSFORSLAG/artfynd/Ornös nordspets artfynd.xlsx", "Ornös nordspets")</f>
        <v/>
      </c>
      <c r="W4">
        <f>HYPERLINK("https://klasma.github.io/Logging_HANINGE_RESERVATSFORSLAG/kartor/Ornös nordspets karta.png", "Ornös nordspets")</f>
        <v/>
      </c>
      <c r="X4">
        <f>HYPERLINK("https://klasma.github.io/Logging_HANINGE_RESERVATSFORSLAG/knärot/Ornös nordspets karta knärot.png", "Ornös nordspets")</f>
        <v/>
      </c>
      <c r="Y4">
        <f>HYPERLINK("https://klasma.github.io/Logging_HANINGE_RESERVATSFORSLAG/klagomål/Ornös nordspets FSC-klagomål.docx", "Ornös nordspets")</f>
        <v/>
      </c>
      <c r="Z4">
        <f>HYPERLINK("https://klasma.github.io/Logging_HANINGE_RESERVATSFORSLAG/klagomålsmail/Ornös nordspets FSC-klagomål mail.docx", "Ornös nordspets")</f>
        <v/>
      </c>
      <c r="AA4">
        <f>HYPERLINK("https://klasma.github.io/Logging_HANINGE_RESERVATSFORSLAG/tillsyn/Ornös nordspets tillsynsbegäran.docx", "Ornös nordspets")</f>
        <v/>
      </c>
      <c r="AB4">
        <f>HYPERLINK("https://klasma.github.io/Logging_HANINGE_RESERVATSFORSLAG/tillsynsmail/Ornös nordspets tillsynsbegäran mail.docx", "Ornös nordspets")</f>
        <v/>
      </c>
      <c r="AC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46220</v>
      </c>
      <c r="E5" s="1" t="n">
        <v>46220</v>
      </c>
      <c r="F5" t="inlineStr">
        <is>
          <t>Stockholms län</t>
        </is>
      </c>
      <c r="G5" t="inlineStr">
        <is>
          <t>Haninge</t>
        </is>
      </c>
      <c r="I5" t="n">
        <v>194.4</v>
      </c>
      <c r="J5" t="n">
        <v>34</v>
      </c>
      <c r="K5" t="n">
        <v>31</v>
      </c>
      <c r="L5" t="n">
        <v>44</v>
      </c>
      <c r="M5" t="n">
        <v>18</v>
      </c>
      <c r="N5" t="n">
        <v>3</v>
      </c>
      <c r="O5" t="n">
        <v>0</v>
      </c>
      <c r="P5" t="n">
        <v>0</v>
      </c>
      <c r="Q5" t="n">
        <v>65</v>
      </c>
      <c r="R5" t="n">
        <v>21</v>
      </c>
      <c r="S5" t="n">
        <v>117</v>
      </c>
      <c r="T5" t="n">
        <v>819</v>
      </c>
      <c r="U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Tjäder
Gröngöling
Grönsiska
Havsörn
Kungsfågel
Trana
Törnskata
Åkergroda
Huggorm
Kopparödla
Mindre vattensalamander
Vanlig groda
Vanlig padda
Vanlig snok
Fläcknycklar
Nattviol
Revlummer</t>
        </is>
      </c>
      <c r="V5">
        <f>HYPERLINK("https://klasma.github.io/Logging_HANINGE_RESERVATSFORSLAG/artfynd/Norrbytorps naturreservat utökat artfynd.xlsx", "Norrbytorps naturreservat utökat")</f>
        <v/>
      </c>
      <c r="W5">
        <f>HYPERLINK("https://klasma.github.io/Logging_HANINGE_RESERVATSFORSLAG/kartor/Norrbytorps naturreservat utökat karta.png", "Norrbytorps naturreservat utökat")</f>
        <v/>
      </c>
      <c r="X5">
        <f>HYPERLINK("https://klasma.github.io/Logging_HANINGE_RESERVATSFORSLAG/knärot/Norrbytorps naturreservat utökat karta knärot.png", "Norrbytorps naturreservat utökat")</f>
        <v/>
      </c>
      <c r="Y5">
        <f>HYPERLINK("https://klasma.github.io/Logging_HANINGE_RESERVATSFORSLAG/klagomål/Norrbytorps naturreservat utökat FSC-klagomål.docx", "Norrbytorps naturreservat utökat")</f>
        <v/>
      </c>
      <c r="Z5">
        <f>HYPERLINK("https://klasma.github.io/Logging_HANINGE_RESERVATSFORSLAG/klagomålsmail/Norrbytorps naturreservat utökat FSC-klagomål mail.docx", "Norrbytorps naturreservat utökat")</f>
        <v/>
      </c>
      <c r="AA5">
        <f>HYPERLINK("https://klasma.github.io/Logging_HANINGE_RESERVATSFORSLAG/tillsyn/Norrbytorps naturreservat utökat tillsynsbegäran.docx", "Norrbytorps naturreservat utökat")</f>
        <v/>
      </c>
      <c r="AB5">
        <f>HYPERLINK("https://klasma.github.io/Logging_HANINGE_RESERVATSFORSLAG/tillsynsmail/Norrbytorps naturreservat utökat tillsynsbegäran mail.docx", "Norrbytorps naturreservat utökat")</f>
        <v/>
      </c>
      <c r="AC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46220</v>
      </c>
      <c r="E6" s="1" t="n">
        <v>46220</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V6">
        <f>HYPERLINK("https://klasma.github.io/Logging_HANINGE_RESERVATSFORSLAG/artfynd/Skäggsmoskogens naturreservat artfynd.xlsx", "Skäggsmoskogens naturreservat")</f>
        <v/>
      </c>
      <c r="W6">
        <f>HYPERLINK("https://klasma.github.io/Logging_HANINGE_RESERVATSFORSLAG/kartor/Skäggsmoskogens naturreservat karta.png", "Skäggsmoskogens naturreservat")</f>
        <v/>
      </c>
      <c r="Y6">
        <f>HYPERLINK("https://klasma.github.io/Logging_HANINGE_RESERVATSFORSLAG/klagomål/Skäggsmoskogens naturreservat FSC-klagomål.docx", "Skäggsmoskogens naturreservat")</f>
        <v/>
      </c>
      <c r="Z6">
        <f>HYPERLINK("https://klasma.github.io/Logging_HANINGE_RESERVATSFORSLAG/klagomålsmail/Skäggsmoskogens naturreservat FSC-klagomål mail.docx", "Skäggsmoskogens naturreservat")</f>
        <v/>
      </c>
      <c r="AA6">
        <f>HYPERLINK("https://klasma.github.io/Logging_HANINGE_RESERVATSFORSLAG/tillsyn/Skäggsmoskogens naturreservat tillsynsbegäran.docx", "Skäggsmoskogens naturreservat")</f>
        <v/>
      </c>
      <c r="AB6">
        <f>HYPERLINK("https://klasma.github.io/Logging_HANINGE_RESERVATSFORSLAG/tillsynsmail/Skäggsmoskogens naturreservat tillsynsbegäran mail.docx", "Skäggsmoskogens naturreservat")</f>
        <v/>
      </c>
      <c r="AC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46220</v>
      </c>
      <c r="E7" s="1" t="n">
        <v>46220</v>
      </c>
      <c r="F7" t="inlineStr">
        <is>
          <t>Stockholms län</t>
        </is>
      </c>
      <c r="G7" t="inlineStr">
        <is>
          <t>Haninge</t>
        </is>
      </c>
      <c r="I7" t="n">
        <v>159.7</v>
      </c>
      <c r="J7" t="n">
        <v>31</v>
      </c>
      <c r="K7" t="n">
        <v>24</v>
      </c>
      <c r="L7" t="n">
        <v>38</v>
      </c>
      <c r="M7" t="n">
        <v>16</v>
      </c>
      <c r="N7" t="n">
        <v>2</v>
      </c>
      <c r="O7" t="n">
        <v>0</v>
      </c>
      <c r="P7" t="n">
        <v>0</v>
      </c>
      <c r="Q7" t="n">
        <v>56</v>
      </c>
      <c r="R7" t="n">
        <v>18</v>
      </c>
      <c r="S7" t="n">
        <v>98</v>
      </c>
      <c r="T7" t="n">
        <v>677</v>
      </c>
      <c r="U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Tjäder
Gröngöling
Havsörn
Trana
Törnskata
Åkergroda
Huggorm
Kopparödla
Mindre vattensalamander
Vanlig groda
Vanlig padda
Vanlig snok
Fläcknycklar
Revlummer</t>
        </is>
      </c>
      <c r="V7">
        <f>HYPERLINK("https://klasma.github.io/Logging_HANINGE_RESERVATSFORSLAG/artfynd/Norrbytorps naturreservat artfynd.xlsx", "Norrbytorps naturreservat")</f>
        <v/>
      </c>
      <c r="W7">
        <f>HYPERLINK("https://klasma.github.io/Logging_HANINGE_RESERVATSFORSLAG/kartor/Norrbytorps naturreservat karta.png", "Norrbytorps naturreservat")</f>
        <v/>
      </c>
      <c r="X7">
        <f>HYPERLINK("https://klasma.github.io/Logging_HANINGE_RESERVATSFORSLAG/knärot/Norrbytorps naturreservat karta knärot.png", "Norrbytorps naturreservat")</f>
        <v/>
      </c>
      <c r="Y7">
        <f>HYPERLINK("https://klasma.github.io/Logging_HANINGE_RESERVATSFORSLAG/klagomål/Norrbytorps naturreservat FSC-klagomål.docx", "Norrbytorps naturreservat")</f>
        <v/>
      </c>
      <c r="Z7">
        <f>HYPERLINK("https://klasma.github.io/Logging_HANINGE_RESERVATSFORSLAG/klagomålsmail/Norrbytorps naturreservat FSC-klagomål mail.docx", "Norrbytorps naturreservat")</f>
        <v/>
      </c>
      <c r="AA7">
        <f>HYPERLINK("https://klasma.github.io/Logging_HANINGE_RESERVATSFORSLAG/tillsyn/Norrbytorps naturreservat tillsynsbegäran.docx", "Norrbytorps naturreservat")</f>
        <v/>
      </c>
      <c r="AB7">
        <f>HYPERLINK("https://klasma.github.io/Logging_HANINGE_RESERVATSFORSLAG/tillsynsmail/Norrbytorps naturreservat tillsynsbegäran mail.docx", "Norrbytorps naturreservat")</f>
        <v/>
      </c>
      <c r="AC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46220</v>
      </c>
      <c r="E8" s="1" t="n">
        <v>46220</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V8">
        <f>HYPERLINK("https://klasma.github.io/Logging_HANINGE_RESERVATSFORSLAG/artfynd/Breviksnäs artfynd.xlsx", "Breviksnäs")</f>
        <v/>
      </c>
      <c r="W8">
        <f>HYPERLINK("https://klasma.github.io/Logging_HANINGE_RESERVATSFORSLAG/kartor/Breviksnäs karta.png", "Breviksnäs")</f>
        <v/>
      </c>
      <c r="X8">
        <f>HYPERLINK("https://klasma.github.io/Logging_HANINGE_RESERVATSFORSLAG/knärot/Breviksnäs karta knärot.png", "Breviksnäs")</f>
        <v/>
      </c>
      <c r="Y8">
        <f>HYPERLINK("https://klasma.github.io/Logging_HANINGE_RESERVATSFORSLAG/klagomål/Breviksnäs FSC-klagomål.docx", "Breviksnäs")</f>
        <v/>
      </c>
      <c r="Z8">
        <f>HYPERLINK("https://klasma.github.io/Logging_HANINGE_RESERVATSFORSLAG/klagomålsmail/Breviksnäs FSC-klagomål mail.docx", "Breviksnäs")</f>
        <v/>
      </c>
      <c r="AA8">
        <f>HYPERLINK("https://klasma.github.io/Logging_HANINGE_RESERVATSFORSLAG/tillsyn/Breviksnäs tillsynsbegäran.docx", "Breviksnäs")</f>
        <v/>
      </c>
      <c r="AB8">
        <f>HYPERLINK("https://klasma.github.io/Logging_HANINGE_RESERVATSFORSLAG/tillsynsmail/Breviksnäs tillsynsbegäran mail.docx", "Breviksnäs")</f>
        <v/>
      </c>
      <c r="AC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46220</v>
      </c>
      <c r="E9" s="1" t="n">
        <v>46220</v>
      </c>
      <c r="F9" t="inlineStr">
        <is>
          <t>Stockholms län</t>
        </is>
      </c>
      <c r="G9" t="inlineStr">
        <is>
          <t>Haninge</t>
        </is>
      </c>
      <c r="I9" t="n">
        <v>237.7</v>
      </c>
      <c r="J9" t="n">
        <v>26</v>
      </c>
      <c r="K9" t="n">
        <v>15</v>
      </c>
      <c r="L9" t="n">
        <v>25</v>
      </c>
      <c r="M9" t="n">
        <v>10</v>
      </c>
      <c r="N9" t="n">
        <v>2</v>
      </c>
      <c r="O9" t="n">
        <v>0</v>
      </c>
      <c r="P9" t="n">
        <v>0</v>
      </c>
      <c r="Q9" t="n">
        <v>37</v>
      </c>
      <c r="R9" t="n">
        <v>12</v>
      </c>
      <c r="S9" t="n">
        <v>70</v>
      </c>
      <c r="T9" t="n">
        <v>530</v>
      </c>
      <c r="U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V9">
        <f>HYPERLINK("https://klasma.github.io/Logging_HANINGE_RESERVATSFORSLAG/artfynd/Tyresta naturreservat med skogsbruk artfynd.xlsx", "Tyresta naturreservat med skogsbruk")</f>
        <v/>
      </c>
      <c r="W9">
        <f>HYPERLINK("https://klasma.github.io/Logging_HANINGE_RESERVATSFORSLAG/kartor/Tyresta naturreservat med skogsbruk karta.png", "Tyresta naturreservat med skogsbruk")</f>
        <v/>
      </c>
      <c r="X9">
        <f>HYPERLINK("https://klasma.github.io/Logging_HANINGE_RESERVATSFORSLAG/knärot/Tyresta naturreservat med skogsbruk karta knärot.png", "Tyresta naturreservat med skogsbruk")</f>
        <v/>
      </c>
      <c r="Y9">
        <f>HYPERLINK("https://klasma.github.io/Logging_HANINGE_RESERVATSFORSLAG/klagomål/Tyresta naturreservat med skogsbruk FSC-klagomål.docx", "Tyresta naturreservat med skogsbruk")</f>
        <v/>
      </c>
      <c r="Z9">
        <f>HYPERLINK("https://klasma.github.io/Logging_HANINGE_RESERVATSFORSLAG/klagomålsmail/Tyresta naturreservat med skogsbruk FSC-klagomål mail.docx", "Tyresta naturreservat med skogsbruk")</f>
        <v/>
      </c>
      <c r="AA9">
        <f>HYPERLINK("https://klasma.github.io/Logging_HANINGE_RESERVATSFORSLAG/tillsyn/Tyresta naturreservat med skogsbruk tillsynsbegäran.docx", "Tyresta naturreservat med skogsbruk")</f>
        <v/>
      </c>
      <c r="AB9">
        <f>HYPERLINK("https://klasma.github.io/Logging_HANINGE_RESERVATSFORSLAG/tillsynsmail/Tyresta naturreservat med skogsbruk tillsynsbegäran mail.docx", "Tyresta naturreservat med skogsbruk")</f>
        <v/>
      </c>
      <c r="AC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46220</v>
      </c>
      <c r="E10" s="1" t="n">
        <v>46220</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V10">
        <f>HYPERLINK("https://klasma.github.io/Logging_HANINGE_RESERVATSFORSLAG/artfynd/Norra skogen artfynd.xlsx", "Norra skogen")</f>
        <v/>
      </c>
      <c r="W10">
        <f>HYPERLINK("https://klasma.github.io/Logging_HANINGE_RESERVATSFORSLAG/kartor/Norra skogen karta.png", "Norra skogen")</f>
        <v/>
      </c>
      <c r="Y10">
        <f>HYPERLINK("https://klasma.github.io/Logging_HANINGE_RESERVATSFORSLAG/klagomål/Norra skogen FSC-klagomål.docx", "Norra skogen")</f>
        <v/>
      </c>
      <c r="Z10">
        <f>HYPERLINK("https://klasma.github.io/Logging_HANINGE_RESERVATSFORSLAG/klagomålsmail/Norra skogen FSC-klagomål mail.docx", "Norra skogen")</f>
        <v/>
      </c>
      <c r="AA10">
        <f>HYPERLINK("https://klasma.github.io/Logging_HANINGE_RESERVATSFORSLAG/tillsyn/Norra skogen tillsynsbegäran.docx", "Norra skogen")</f>
        <v/>
      </c>
      <c r="AB10">
        <f>HYPERLINK("https://klasma.github.io/Logging_HANINGE_RESERVATSFORSLAG/tillsynsmail/Norra skogen tillsynsbegäran mail.docx", "Norra skogen")</f>
        <v/>
      </c>
      <c r="AC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46220</v>
      </c>
      <c r="E11" s="1" t="n">
        <v>46220</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V11">
        <f>HYPERLINK("https://klasma.github.io/Logging_HANINGE_RESERVATSFORSLAG/artfynd/Lervassa träsk naturreservat artfynd.xlsx", "Lervassa träsk naturreservat")</f>
        <v/>
      </c>
      <c r="W11">
        <f>HYPERLINK("https://klasma.github.io/Logging_HANINGE_RESERVATSFORSLAG/kartor/Lervassa träsk naturreservat karta.png", "Lervassa träsk naturreservat")</f>
        <v/>
      </c>
      <c r="Y11">
        <f>HYPERLINK("https://klasma.github.io/Logging_HANINGE_RESERVATSFORSLAG/klagomål/Lervassa träsk naturreservat FSC-klagomål.docx", "Lervassa träsk naturreservat")</f>
        <v/>
      </c>
      <c r="Z11">
        <f>HYPERLINK("https://klasma.github.io/Logging_HANINGE_RESERVATSFORSLAG/klagomålsmail/Lervassa träsk naturreservat FSC-klagomål mail.docx", "Lervassa träsk naturreservat")</f>
        <v/>
      </c>
      <c r="AA11">
        <f>HYPERLINK("https://klasma.github.io/Logging_HANINGE_RESERVATSFORSLAG/tillsyn/Lervassa träsk naturreservat tillsynsbegäran.docx", "Lervassa träsk naturreservat")</f>
        <v/>
      </c>
      <c r="AB11">
        <f>HYPERLINK("https://klasma.github.io/Logging_HANINGE_RESERVATSFORSLAG/tillsynsmail/Lervassa träsk naturreservat tillsynsbegäran mail.docx", "Lervassa träsk naturreservat")</f>
        <v/>
      </c>
      <c r="AC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46220</v>
      </c>
      <c r="E12" s="1" t="n">
        <v>46220</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V12">
        <f>HYPERLINK("https://klasma.github.io/Logging_HANINGE_RESERVATSFORSLAG/artfynd/Örans naturreservat artfynd.xlsx", "Örans naturreservat")</f>
        <v/>
      </c>
      <c r="W12">
        <f>HYPERLINK("https://klasma.github.io/Logging_HANINGE_RESERVATSFORSLAG/kartor/Örans naturreservat karta.png", "Örans naturreservat")</f>
        <v/>
      </c>
      <c r="Y12">
        <f>HYPERLINK("https://klasma.github.io/Logging_HANINGE_RESERVATSFORSLAG/klagomål/Örans naturreservat FSC-klagomål.docx", "Örans naturreservat")</f>
        <v/>
      </c>
      <c r="Z12">
        <f>HYPERLINK("https://klasma.github.io/Logging_HANINGE_RESERVATSFORSLAG/klagomålsmail/Örans naturreservat FSC-klagomål mail.docx", "Örans naturreservat")</f>
        <v/>
      </c>
      <c r="AA12">
        <f>HYPERLINK("https://klasma.github.io/Logging_HANINGE_RESERVATSFORSLAG/tillsyn/Örans naturreservat tillsynsbegäran.docx", "Örans naturreservat")</f>
        <v/>
      </c>
      <c r="AB12">
        <f>HYPERLINK("https://klasma.github.io/Logging_HANINGE_RESERVATSFORSLAG/tillsynsmail/Örans naturreservat tillsynsbegäran mail.docx", "Örans naturreservat")</f>
        <v/>
      </c>
      <c r="AC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46220</v>
      </c>
      <c r="E13" s="1" t="n">
        <v>46220</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V13">
        <f>HYPERLINK("https://klasma.github.io/Logging_HANINGE_RESERVATSFORSLAG/artfynd/Norrbyskogens naturreservat artfynd.xlsx", "Norrbyskogens naturreservat")</f>
        <v/>
      </c>
      <c r="W13">
        <f>HYPERLINK("https://klasma.github.io/Logging_HANINGE_RESERVATSFORSLAG/kartor/Norrbyskogens naturreservat karta.png", "Norrbyskogens naturreservat")</f>
        <v/>
      </c>
      <c r="Y13">
        <f>HYPERLINK("https://klasma.github.io/Logging_HANINGE_RESERVATSFORSLAG/klagomål/Norrbyskogens naturreservat FSC-klagomål.docx", "Norrbyskogens naturreservat")</f>
        <v/>
      </c>
      <c r="Z13">
        <f>HYPERLINK("https://klasma.github.io/Logging_HANINGE_RESERVATSFORSLAG/klagomålsmail/Norrbyskogens naturreservat FSC-klagomål mail.docx", "Norrbyskogens naturreservat")</f>
        <v/>
      </c>
      <c r="AA13">
        <f>HYPERLINK("https://klasma.github.io/Logging_HANINGE_RESERVATSFORSLAG/tillsyn/Norrbyskogens naturreservat tillsynsbegäran.docx", "Norrbyskogens naturreservat")</f>
        <v/>
      </c>
      <c r="AB13">
        <f>HYPERLINK("https://klasma.github.io/Logging_HANINGE_RESERVATSFORSLAG/tillsynsmail/Norrbyskogens naturreservat tillsynsbegäran mail.docx", "Norrbyskogens naturreservat")</f>
        <v/>
      </c>
      <c r="AC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46220</v>
      </c>
      <c r="E14" s="1" t="n">
        <v>46220</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V14">
        <f>HYPERLINK("https://klasma.github.io/Logging_HANINGE_RESERVATSFORSLAG/artfynd/Norr om Norra skogens naturreservat artfynd.xlsx", "Norr om Norra skogens naturreservat")</f>
        <v/>
      </c>
      <c r="W14">
        <f>HYPERLINK("https://klasma.github.io/Logging_HANINGE_RESERVATSFORSLAG/kartor/Norr om Norra skogens naturreservat karta.png", "Norr om Norra skogens naturreservat")</f>
        <v/>
      </c>
      <c r="X14">
        <f>HYPERLINK("https://klasma.github.io/Logging_HANINGE_RESERVATSFORSLAG/knärot/Norr om Norra skogens naturreservat karta knärot.png", "Norr om Norra skogens naturreservat")</f>
        <v/>
      </c>
      <c r="Y14">
        <f>HYPERLINK("https://klasma.github.io/Logging_HANINGE_RESERVATSFORSLAG/klagomål/Norr om Norra skogens naturreservat FSC-klagomål.docx", "Norr om Norra skogens naturreservat")</f>
        <v/>
      </c>
      <c r="Z14">
        <f>HYPERLINK("https://klasma.github.io/Logging_HANINGE_RESERVATSFORSLAG/klagomålsmail/Norr om Norra skogens naturreservat FSC-klagomål mail.docx", "Norr om Norra skogens naturreservat")</f>
        <v/>
      </c>
      <c r="AA14">
        <f>HYPERLINK("https://klasma.github.io/Logging_HANINGE_RESERVATSFORSLAG/tillsyn/Norr om Norra skogens naturreservat tillsynsbegäran.docx", "Norr om Norra skogens naturreservat")</f>
        <v/>
      </c>
      <c r="AB14">
        <f>HYPERLINK("https://klasma.github.io/Logging_HANINGE_RESERVATSFORSLAG/tillsynsmail/Norr om Norra skogens naturreservat tillsynsbegäran mail.docx", "Norr om Norra skogens naturreservat")</f>
        <v/>
      </c>
      <c r="AC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46220</v>
      </c>
      <c r="E15" s="1" t="n">
        <v>46220</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V15">
        <f>HYPERLINK("https://klasma.github.io/Logging_HANINGE_RESERVATSFORSLAG/artfynd/Tutvikskogens naturreservat artfynd.xlsx", "Tutvikskogens naturreservat")</f>
        <v/>
      </c>
      <c r="W15">
        <f>HYPERLINK("https://klasma.github.io/Logging_HANINGE_RESERVATSFORSLAG/kartor/Tutvikskogens naturreservat karta.png", "Tutvikskogens naturreservat")</f>
        <v/>
      </c>
      <c r="X15">
        <f>HYPERLINK("https://klasma.github.io/Logging_HANINGE_RESERVATSFORSLAG/knärot/Tutvikskogens naturreservat karta knärot.png", "Tutvikskogens naturreservat")</f>
        <v/>
      </c>
      <c r="Y15">
        <f>HYPERLINK("https://klasma.github.io/Logging_HANINGE_RESERVATSFORSLAG/klagomål/Tutvikskogens naturreservat FSC-klagomål.docx", "Tutvikskogens naturreservat")</f>
        <v/>
      </c>
      <c r="Z15">
        <f>HYPERLINK("https://klasma.github.io/Logging_HANINGE_RESERVATSFORSLAG/klagomålsmail/Tutvikskogens naturreservat FSC-klagomål mail.docx", "Tutvikskogens naturreservat")</f>
        <v/>
      </c>
      <c r="AA15">
        <f>HYPERLINK("https://klasma.github.io/Logging_HANINGE_RESERVATSFORSLAG/tillsyn/Tutvikskogens naturreservat tillsynsbegäran.docx", "Tutvikskogens naturreservat")</f>
        <v/>
      </c>
      <c r="AB15">
        <f>HYPERLINK("https://klasma.github.io/Logging_HANINGE_RESERVATSFORSLAG/tillsynsmail/Tutvikskogens naturreservat tillsynsbegäran mail.docx", "Tutvikskogens naturreservat")</f>
        <v/>
      </c>
      <c r="AC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46220</v>
      </c>
      <c r="E16" s="1" t="n">
        <v>46220</v>
      </c>
      <c r="F16" t="inlineStr">
        <is>
          <t>Stockholms län</t>
        </is>
      </c>
      <c r="G16" t="inlineStr">
        <is>
          <t>Haninge</t>
        </is>
      </c>
      <c r="I16" t="n">
        <v>128</v>
      </c>
      <c r="J16" t="n">
        <v>19</v>
      </c>
      <c r="K16" t="n">
        <v>7</v>
      </c>
      <c r="L16" t="n">
        <v>19</v>
      </c>
      <c r="M16" t="n">
        <v>8</v>
      </c>
      <c r="N16" t="n">
        <v>1</v>
      </c>
      <c r="O16" t="n">
        <v>0</v>
      </c>
      <c r="P16" t="n">
        <v>0</v>
      </c>
      <c r="Q16" t="n">
        <v>28</v>
      </c>
      <c r="R16" t="n">
        <v>9</v>
      </c>
      <c r="S16" t="n">
        <v>48</v>
      </c>
      <c r="T16" t="n">
        <v>280</v>
      </c>
      <c r="U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V16">
        <f>HYPERLINK("https://klasma.github.io/Logging_HANINGE_RESERVATSFORSLAG/artfynd/Norrbytorps naturreservat söder artfynd.xlsx", "Norrbytorps naturreservat söder")</f>
        <v/>
      </c>
      <c r="W16">
        <f>HYPERLINK("https://klasma.github.io/Logging_HANINGE_RESERVATSFORSLAG/kartor/Norrbytorps naturreservat söder karta.png", "Norrbytorps naturreservat söder")</f>
        <v/>
      </c>
      <c r="X16">
        <f>HYPERLINK("https://klasma.github.io/Logging_HANINGE_RESERVATSFORSLAG/knärot/Norrbytorps naturreservat söder karta knärot.png", "Norrbytorps naturreservat söder")</f>
        <v/>
      </c>
      <c r="Y16">
        <f>HYPERLINK("https://klasma.github.io/Logging_HANINGE_RESERVATSFORSLAG/klagomål/Norrbytorps naturreservat söder FSC-klagomål.docx", "Norrbytorps naturreservat söder")</f>
        <v/>
      </c>
      <c r="Z16">
        <f>HYPERLINK("https://klasma.github.io/Logging_HANINGE_RESERVATSFORSLAG/klagomålsmail/Norrbytorps naturreservat söder FSC-klagomål mail.docx", "Norrbytorps naturreservat söder")</f>
        <v/>
      </c>
      <c r="AA16">
        <f>HYPERLINK("https://klasma.github.io/Logging_HANINGE_RESERVATSFORSLAG/tillsyn/Norrbytorps naturreservat söder tillsynsbegäran.docx", "Norrbytorps naturreservat söder")</f>
        <v/>
      </c>
      <c r="AB16">
        <f>HYPERLINK("https://klasma.github.io/Logging_HANINGE_RESERVATSFORSLAG/tillsynsmail/Norrbytorps naturreservat söder tillsynsbegäran mail.docx", "Norrbytorps naturreservat söder")</f>
        <v/>
      </c>
      <c r="AC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46220</v>
      </c>
      <c r="E17" s="1" t="n">
        <v>46220</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V17">
        <f>HYPERLINK("https://klasma.github.io/Logging_HANINGE_RESERVATSFORSLAG/artfynd/Kapellöns naturreservat artfynd.xlsx", "Kapellöns naturreservat")</f>
        <v/>
      </c>
      <c r="W17">
        <f>HYPERLINK("https://klasma.github.io/Logging_HANINGE_RESERVATSFORSLAG/kartor/Kapellöns naturreservat karta.png", "Kapellöns naturreservat")</f>
        <v/>
      </c>
      <c r="Y17">
        <f>HYPERLINK("https://klasma.github.io/Logging_HANINGE_RESERVATSFORSLAG/klagomål/Kapellöns naturreservat FSC-klagomål.docx", "Kapellöns naturreservat")</f>
        <v/>
      </c>
      <c r="Z17">
        <f>HYPERLINK("https://klasma.github.io/Logging_HANINGE_RESERVATSFORSLAG/klagomålsmail/Kapellöns naturreservat FSC-klagomål mail.docx", "Kapellöns naturreservat")</f>
        <v/>
      </c>
      <c r="AA17">
        <f>HYPERLINK("https://klasma.github.io/Logging_HANINGE_RESERVATSFORSLAG/tillsyn/Kapellöns naturreservat tillsynsbegäran.docx", "Kapellöns naturreservat")</f>
        <v/>
      </c>
      <c r="AB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46220</v>
      </c>
      <c r="E18" s="1" t="n">
        <v>46220</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V18">
        <f>HYPERLINK("https://klasma.github.io/Logging_HANINGE_RESERVATSFORSLAG/artfynd/Söderbyskogens naturreservat artfynd.xlsx", "Söderbyskogens naturreservat")</f>
        <v/>
      </c>
      <c r="W18">
        <f>HYPERLINK("https://klasma.github.io/Logging_HANINGE_RESERVATSFORSLAG/kartor/Söderbyskogens naturreservat karta.png", "Söderbyskogens naturreservat")</f>
        <v/>
      </c>
      <c r="Y18">
        <f>HYPERLINK("https://klasma.github.io/Logging_HANINGE_RESERVATSFORSLAG/klagomål/Söderbyskogens naturreservat FSC-klagomål.docx", "Söderbyskogens naturreservat")</f>
        <v/>
      </c>
      <c r="Z18">
        <f>HYPERLINK("https://klasma.github.io/Logging_HANINGE_RESERVATSFORSLAG/klagomålsmail/Söderbyskogens naturreservat FSC-klagomål mail.docx", "Söderbyskogens naturreservat")</f>
        <v/>
      </c>
      <c r="AA18">
        <f>HYPERLINK("https://klasma.github.io/Logging_HANINGE_RESERVATSFORSLAG/tillsyn/Söderbyskogens naturreservat tillsynsbegäran.docx", "Söderbyskogens naturreservat")</f>
        <v/>
      </c>
      <c r="AB18">
        <f>HYPERLINK("https://klasma.github.io/Logging_HANINGE_RESERVATSFORSLAG/tillsynsmail/Söderbyskogens naturreservat tillsynsbegäran mail.docx", "Söderbyskogens naturreservat")</f>
        <v/>
      </c>
      <c r="AC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46220</v>
      </c>
      <c r="E19" s="1" t="n">
        <v>46220</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s="2" t="inlineStr">
        <is>
          <t>Garnlav
Igelkott
Lungrot
Storfryle
Tajgafältmätare
Baltiskt skogsfly
Bolmört
Gullpudra
Hedjordfly
Tallticka
Barkticka
Mörk husmossa
Skogshakmossa
Stor aspticka
Strutbräken
Tibast
Kråka
Kopparödla
Gullviva</t>
        </is>
      </c>
      <c r="V19">
        <f>HYPERLINK("https://klasma.github.io/Logging_HANINGE_RESERVATSFORSLAG/artfynd/Jordbro naturreservat artfynd.xlsx", "Jordbro naturreservat")</f>
        <v/>
      </c>
      <c r="W19">
        <f>HYPERLINK("https://klasma.github.io/Logging_HANINGE_RESERVATSFORSLAG/kartor/Jordbro naturreservat karta.png", "Jordbro naturreservat")</f>
        <v/>
      </c>
      <c r="Y19">
        <f>HYPERLINK("https://klasma.github.io/Logging_HANINGE_RESERVATSFORSLAG/klagomål/Jordbro naturreservat FSC-klagomål.docx", "Jordbro naturreservat")</f>
        <v/>
      </c>
      <c r="Z19">
        <f>HYPERLINK("https://klasma.github.io/Logging_HANINGE_RESERVATSFORSLAG/klagomålsmail/Jordbro naturreservat FSC-klagomål mail.docx", "Jordbro naturreservat")</f>
        <v/>
      </c>
      <c r="AA19">
        <f>HYPERLINK("https://klasma.github.io/Logging_HANINGE_RESERVATSFORSLAG/tillsyn/Jordbro naturreservat tillsynsbegäran.docx", "Jordbro naturreservat")</f>
        <v/>
      </c>
      <c r="AB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46220</v>
      </c>
      <c r="E20" s="1" t="n">
        <v>46220</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s="2" t="inlineStr">
        <is>
          <t>Gränsticka
Knärot
Dvärgbägarlav
Fjällig taggsvamp s.str.
Kungsfiskare
Motaggsvamp
Tallticka
Blåmossa
Stor aspticka
Vedticka
Spillkråka
Salskrake</t>
        </is>
      </c>
      <c r="V20">
        <f>HYPERLINK("https://klasma.github.io/Logging_HANINGE_RESERVATSFORSLAG/artfynd/Bockbergets naturreservat artfynd.xlsx", "Bockbergets naturreservat")</f>
        <v/>
      </c>
      <c r="W20">
        <f>HYPERLINK("https://klasma.github.io/Logging_HANINGE_RESERVATSFORSLAG/kartor/Bockbergets naturreservat karta.png", "Bockbergets naturreservat")</f>
        <v/>
      </c>
      <c r="X20">
        <f>HYPERLINK("https://klasma.github.io/Logging_HANINGE_RESERVATSFORSLAG/knärot/Bockbergets naturreservat karta knärot.png", "Bockbergets naturreservat")</f>
        <v/>
      </c>
      <c r="Y20">
        <f>HYPERLINK("https://klasma.github.io/Logging_HANINGE_RESERVATSFORSLAG/klagomål/Bockbergets naturreservat FSC-klagomål.docx", "Bockbergets naturreservat")</f>
        <v/>
      </c>
      <c r="Z20">
        <f>HYPERLINK("https://klasma.github.io/Logging_HANINGE_RESERVATSFORSLAG/klagomålsmail/Bockbergets naturreservat FSC-klagomål mail.docx", "Bockbergets naturreservat")</f>
        <v/>
      </c>
      <c r="AA20">
        <f>HYPERLINK("https://klasma.github.io/Logging_HANINGE_RESERVATSFORSLAG/tillsyn/Bockbergets naturreservat tillsynsbegäran.docx", "Bockbergets naturreservat")</f>
        <v/>
      </c>
      <c r="AB20">
        <f>HYPERLINK("https://klasma.github.io/Logging_HANINGE_RESERVATSFORSLAG/tillsynsmail/Bockbergets naturreservat tillsynsbegäran mail.docx", "Bockbergets naturreservat")</f>
        <v/>
      </c>
      <c r="AC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46220</v>
      </c>
      <c r="E21" s="1" t="n">
        <v>46220</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s="2" t="inlineStr">
        <is>
          <t>Motaggsvamp
Nötkråka
Storgröe
Tallmovägstekel
Hasselticka
Större träfjäril
Svavelriska
Mattlummer
Vitsippa
Kopparödla
Vanlig groda
Revlummer</t>
        </is>
      </c>
      <c r="V21">
        <f>HYPERLINK("https://klasma.github.io/Logging_HANINGE_RESERVATSFORSLAG/artfynd/Jordbro gravfälts naturreservat artfynd.xlsx", "Jordbro gravfälts naturreservat")</f>
        <v/>
      </c>
      <c r="W21">
        <f>HYPERLINK("https://klasma.github.io/Logging_HANINGE_RESERVATSFORSLAG/kartor/Jordbro gravfälts naturreservat karta.png", "Jordbro gravfälts naturreservat")</f>
        <v/>
      </c>
      <c r="Y21">
        <f>HYPERLINK("https://klasma.github.io/Logging_HANINGE_RESERVATSFORSLAG/klagomål/Jordbro gravfälts naturreservat FSC-klagomål.docx", "Jordbro gravfälts naturreservat")</f>
        <v/>
      </c>
      <c r="Z21">
        <f>HYPERLINK("https://klasma.github.io/Logging_HANINGE_RESERVATSFORSLAG/klagomålsmail/Jordbro gravfälts naturreservat FSC-klagomål mail.docx", "Jordbro gravfälts naturreservat")</f>
        <v/>
      </c>
      <c r="AA21">
        <f>HYPERLINK("https://klasma.github.io/Logging_HANINGE_RESERVATSFORSLAG/tillsyn/Jordbro gravfälts naturreservat tillsynsbegäran.docx", "Jordbro gravfälts naturreservat")</f>
        <v/>
      </c>
      <c r="AB21">
        <f>HYPERLINK("https://klasma.github.io/Logging_HANINGE_RESERVATSFORSLAG/tillsynsmail/Jordbro gravfälts naturreservat tillsynsbegäran mail.docx", "Jordbro gravfälts naturreservat")</f>
        <v/>
      </c>
      <c r="AC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46220</v>
      </c>
      <c r="E22" s="1" t="n">
        <v>46220</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s="2" t="inlineStr">
        <is>
          <t>Sårläka
Nästrot
Tjäder
Fläcknycklar</t>
        </is>
      </c>
      <c r="V22">
        <f>HYPERLINK("https://klasma.github.io/Logging_HANINGE_RESERVATSFORSLAG/artfynd/Öster om Norra skogens naturreservat artfynd.xlsx", "Öster om Norra skogens naturreservat")</f>
        <v/>
      </c>
      <c r="W22">
        <f>HYPERLINK("https://klasma.github.io/Logging_HANINGE_RESERVATSFORSLAG/kartor/Öster om Norra skogens naturreservat karta.png", "Öster om Norra skogens naturreservat")</f>
        <v/>
      </c>
      <c r="Y22">
        <f>HYPERLINK("https://klasma.github.io/Logging_HANINGE_RESERVATSFORSLAG/klagomål/Öster om Norra skogens naturreservat FSC-klagomål.docx", "Öster om Norra skogens naturreservat")</f>
        <v/>
      </c>
      <c r="Z22">
        <f>HYPERLINK("https://klasma.github.io/Logging_HANINGE_RESERVATSFORSLAG/klagomålsmail/Öster om Norra skogens naturreservat FSC-klagomål mail.docx", "Öster om Norra skogens naturreservat")</f>
        <v/>
      </c>
      <c r="AA22">
        <f>HYPERLINK("https://klasma.github.io/Logging_HANINGE_RESERVATSFORSLAG/tillsyn/Öster om Norra skogens naturreservat tillsynsbegäran.docx", "Öster om Norra skogens naturreservat")</f>
        <v/>
      </c>
      <c r="AB22">
        <f>HYPERLINK("https://klasma.github.io/Logging_HANINGE_RESERVATSFORSLAG/tillsynsmail/Öster om Norra skogens naturreservat tillsynsbegäran mail.docx", "Öster om Norra skogens naturreservat")</f>
        <v/>
      </c>
      <c r="AC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46220</v>
      </c>
      <c r="E23" s="1" t="n">
        <v>46220</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s="2" t="inlineStr">
        <is>
          <t>Adam och eva
Solvända
Grönvit nattviol</t>
        </is>
      </c>
      <c r="V23">
        <f>HYPERLINK("https://klasma.github.io/Logging_HANINGE_RESERVATSFORSLAG/artfynd/Grytholmens naturreservat artfynd.xlsx", "Grytholmens naturreservat")</f>
        <v/>
      </c>
      <c r="W23">
        <f>HYPERLINK("https://klasma.github.io/Logging_HANINGE_RESERVATSFORSLAG/kartor/Grytholmens naturreservat karta.png", "Grytholmens naturreservat")</f>
        <v/>
      </c>
      <c r="Y23">
        <f>HYPERLINK("https://klasma.github.io/Logging_HANINGE_RESERVATSFORSLAG/klagomål/Grytholmens naturreservat FSC-klagomål.docx", "Grytholmens naturreservat")</f>
        <v/>
      </c>
      <c r="Z23">
        <f>HYPERLINK("https://klasma.github.io/Logging_HANINGE_RESERVATSFORSLAG/klagomålsmail/Grytholmens naturreservat FSC-klagomål mail.docx", "Grytholmens naturreservat")</f>
        <v/>
      </c>
      <c r="AA23">
        <f>HYPERLINK("https://klasma.github.io/Logging_HANINGE_RESERVATSFORSLAG/tillsyn/Grytholmens naturreservat tillsynsbegäran.docx", "Grytholmens naturreservat")</f>
        <v/>
      </c>
      <c r="AB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2026-07-17T02:59:46Z</dcterms:created>
  <dcterms:modified xmlns:dcterms="http://purl.org/dc/terms/" xmlns:xsi="http://www.w3.org/2001/XMLSchema-instance" xsi:type="dcterms:W3CDTF">2026-07-17T02:59:46Z</dcterms:modified>
</cp:coreProperties>
</file>