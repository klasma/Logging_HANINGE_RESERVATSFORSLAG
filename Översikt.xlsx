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46289</v>
      </c>
      <c r="E2" s="1" t="n">
        <v>46289</v>
      </c>
      <c r="F2" t="inlineStr">
        <is>
          <t>Stockholms län</t>
        </is>
      </c>
      <c r="G2" t="inlineStr">
        <is>
          <t>Haninge</t>
        </is>
      </c>
      <c r="I2" t="n">
        <v>415</v>
      </c>
      <c r="J2" t="n">
        <v>41</v>
      </c>
      <c r="K2" t="n">
        <v>45</v>
      </c>
      <c r="L2" t="n">
        <v>53</v>
      </c>
      <c r="M2" t="n">
        <v>25</v>
      </c>
      <c r="N2" t="n">
        <v>5</v>
      </c>
      <c r="O2" t="n">
        <v>0</v>
      </c>
      <c r="P2" t="n">
        <v>0</v>
      </c>
      <c r="Q2" t="n">
        <v>83</v>
      </c>
      <c r="R2" t="n">
        <v>30</v>
      </c>
      <c r="S2" t="n">
        <v>157</v>
      </c>
      <c r="T2" t="n">
        <v>1335</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46289</v>
      </c>
      <c r="E3" s="1" t="n">
        <v>46289</v>
      </c>
      <c r="F3" t="inlineStr">
        <is>
          <t>Stockholms län</t>
        </is>
      </c>
      <c r="G3" t="inlineStr">
        <is>
          <t>Haninge</t>
        </is>
      </c>
      <c r="I3" t="n">
        <v>280.8</v>
      </c>
      <c r="J3" t="n">
        <v>40</v>
      </c>
      <c r="K3" t="n">
        <v>46</v>
      </c>
      <c r="L3" t="n">
        <v>53</v>
      </c>
      <c r="M3" t="n">
        <v>22</v>
      </c>
      <c r="N3" t="n">
        <v>3</v>
      </c>
      <c r="O3" t="n">
        <v>0</v>
      </c>
      <c r="P3" t="n">
        <v>0</v>
      </c>
      <c r="Q3" t="n">
        <v>78</v>
      </c>
      <c r="R3" t="n">
        <v>25</v>
      </c>
      <c r="S3" t="n">
        <v>156</v>
      </c>
      <c r="T3" t="n">
        <v>777</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46289</v>
      </c>
      <c r="E4" s="1" t="n">
        <v>46289</v>
      </c>
      <c r="F4" t="inlineStr">
        <is>
          <t>Stockholms län</t>
        </is>
      </c>
      <c r="G4" t="inlineStr">
        <is>
          <t>Haninge</t>
        </is>
      </c>
      <c r="I4" t="n">
        <v>194.4</v>
      </c>
      <c r="J4" t="n">
        <v>41</v>
      </c>
      <c r="K4" t="n">
        <v>33</v>
      </c>
      <c r="L4" t="n">
        <v>46</v>
      </c>
      <c r="M4" t="n">
        <v>18</v>
      </c>
      <c r="N4" t="n">
        <v>3</v>
      </c>
      <c r="O4" t="n">
        <v>0</v>
      </c>
      <c r="P4" t="n">
        <v>0</v>
      </c>
      <c r="Q4" t="n">
        <v>67</v>
      </c>
      <c r="R4" t="n">
        <v>21</v>
      </c>
      <c r="S4" t="n">
        <v>128</v>
      </c>
      <c r="T4" t="n">
        <v>1081</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46289</v>
      </c>
      <c r="E5" s="1" t="n">
        <v>46289</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46289</v>
      </c>
      <c r="E6" s="1" t="n">
        <v>46289</v>
      </c>
      <c r="F6" t="inlineStr">
        <is>
          <t>Stockholms län</t>
        </is>
      </c>
      <c r="G6" t="inlineStr">
        <is>
          <t>Haninge</t>
        </is>
      </c>
      <c r="I6" t="n">
        <v>159.7</v>
      </c>
      <c r="J6" t="n">
        <v>38</v>
      </c>
      <c r="K6" t="n">
        <v>27</v>
      </c>
      <c r="L6" t="n">
        <v>40</v>
      </c>
      <c r="M6" t="n">
        <v>16</v>
      </c>
      <c r="N6" t="n">
        <v>2</v>
      </c>
      <c r="O6" t="n">
        <v>0</v>
      </c>
      <c r="P6" t="n">
        <v>0</v>
      </c>
      <c r="Q6" t="n">
        <v>58</v>
      </c>
      <c r="R6" t="n">
        <v>18</v>
      </c>
      <c r="S6" t="n">
        <v>110</v>
      </c>
      <c r="T6" t="n">
        <v>918</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Skarp dropptaggsvamp
Skogsklocka
Svartvit taggsvamp
Tallfingersvamp
Talltagel
Tallticka
Talltita
Tjockfotad fingersvamp
Ullticka
Vaddporing
Vedskivlav
Vedtrappmossa
Vintertagging
Vågticka
Björksplintborre
Blodticka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46289</v>
      </c>
      <c r="E7" s="1" t="n">
        <v>46289</v>
      </c>
      <c r="F7" t="inlineStr">
        <is>
          <t>Stockholms län</t>
        </is>
      </c>
      <c r="G7" t="inlineStr">
        <is>
          <t>Haninge</t>
        </is>
      </c>
      <c r="H7" t="inlineStr">
        <is>
          <t>Kommuner</t>
        </is>
      </c>
      <c r="I7" t="n">
        <v>185.8</v>
      </c>
      <c r="J7" t="n">
        <v>66</v>
      </c>
      <c r="K7" t="n">
        <v>19</v>
      </c>
      <c r="L7" t="n">
        <v>37</v>
      </c>
      <c r="M7" t="n">
        <v>10</v>
      </c>
      <c r="N7" t="n">
        <v>5</v>
      </c>
      <c r="O7" t="n">
        <v>0</v>
      </c>
      <c r="P7" t="n">
        <v>0</v>
      </c>
      <c r="Q7" t="n">
        <v>53</v>
      </c>
      <c r="R7" t="n">
        <v>15</v>
      </c>
      <c r="S7" t="n">
        <v>109</v>
      </c>
      <c r="T7" t="n">
        <v>268</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Stjärtmes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46289</v>
      </c>
      <c r="E8" s="1" t="n">
        <v>46289</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Lervassa träsk naturreservat</t>
        </is>
      </c>
      <c r="B9" t="inlineStr">
        <is>
          <t>avverkningsanmälan</t>
        </is>
      </c>
      <c r="D9" s="1" t="n">
        <v>46289</v>
      </c>
      <c r="E9" s="1" t="n">
        <v>46289</v>
      </c>
      <c r="F9" t="inlineStr">
        <is>
          <t>Stockholms län</t>
        </is>
      </c>
      <c r="G9" t="inlineStr">
        <is>
          <t>Haninge</t>
        </is>
      </c>
      <c r="I9" t="n">
        <v>168.3</v>
      </c>
      <c r="J9" t="n">
        <v>21</v>
      </c>
      <c r="K9" t="n">
        <v>19</v>
      </c>
      <c r="L9" t="n">
        <v>27</v>
      </c>
      <c r="M9" t="n">
        <v>8</v>
      </c>
      <c r="N9" t="n">
        <v>2</v>
      </c>
      <c r="O9" t="n">
        <v>0</v>
      </c>
      <c r="P9" t="n">
        <v>0</v>
      </c>
      <c r="Q9" t="n">
        <v>37</v>
      </c>
      <c r="R9" t="n">
        <v>10</v>
      </c>
      <c r="S9" t="n">
        <v>73</v>
      </c>
      <c r="T9" t="n">
        <v>822</v>
      </c>
      <c r="U9" t="n">
        <v>0</v>
      </c>
      <c r="V9"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9">
        <f>HYPERLINK("https://klasma.github.io/Logging_HANINGE_RESERVATSFORSLAG/artfynd/Lervassa träsk naturreservat artfynd.xlsx", "Lervassa träsk naturreservat")</f>
        <v/>
      </c>
      <c r="X9">
        <f>HYPERLINK("https://klasma.github.io/Logging_HANINGE_RESERVATSFORSLAG/kartor/Lervassa träsk naturreservat karta.png", "Lervassa träsk naturreservat")</f>
        <v/>
      </c>
      <c r="Y9">
        <f>HYPERLINK("https://klasma.github.io/Logging_HANINGE_RESERVATSFORSLAG/kartor_geotiff/Lervassa träsk naturreservat georefererad karta.tif", "Lervassa träsk naturreservat")</f>
        <v/>
      </c>
      <c r="AA9">
        <f>HYPERLINK("https://klasma.github.io/Logging_HANINGE_RESERVATSFORSLAG/klagomål/Lervassa träsk naturreservat FSC-klagomål.docx", "Lervassa träsk naturreservat")</f>
        <v/>
      </c>
      <c r="AB9">
        <f>HYPERLINK("https://klasma.github.io/Logging_HANINGE_RESERVATSFORSLAG/klagomålsmail/Lervassa träsk naturreservat FSC-klagomål mail.docx", "Lervassa träsk naturreservat")</f>
        <v/>
      </c>
      <c r="AC9">
        <f>HYPERLINK("https://klasma.github.io/Logging_HANINGE_RESERVATSFORSLAG/tillsyn/Lervassa träsk naturreservat tillsynsbegäran.docx", "Lervassa träsk naturreservat")</f>
        <v/>
      </c>
      <c r="AD9">
        <f>HYPERLINK("https://klasma.github.io/Logging_HANINGE_RESERVATSFORSLAG/tillsynsmail/Lervassa träsk naturreservat tillsynsbegäran mail.docx", "Lervassa träsk naturreservat")</f>
        <v/>
      </c>
      <c r="AE9">
        <f>HYPERLINK("https://klasma.github.io/Logging_HANINGE_RESERVATSFORSLAG/fåglar/Lervassa träsk naturreservat prioriterade fågelarter.docx", "Lervassa träsk naturreservat")</f>
        <v/>
      </c>
    </row>
    <row r="10" ht="15" customHeight="1">
      <c r="A10" t="inlineStr">
        <is>
          <t>Tyresta naturreservat med skogsbruk</t>
        </is>
      </c>
      <c r="B10" t="inlineStr">
        <is>
          <t>avverkningsanmälan</t>
        </is>
      </c>
      <c r="D10" s="1" t="n">
        <v>46289</v>
      </c>
      <c r="E10" s="1" t="n">
        <v>46289</v>
      </c>
      <c r="F10" t="inlineStr">
        <is>
          <t>Stockholms län</t>
        </is>
      </c>
      <c r="G10" t="inlineStr">
        <is>
          <t>Haninge</t>
        </is>
      </c>
      <c r="I10" t="n">
        <v>237.7</v>
      </c>
      <c r="J10" t="n">
        <v>26</v>
      </c>
      <c r="K10" t="n">
        <v>17</v>
      </c>
      <c r="L10" t="n">
        <v>25</v>
      </c>
      <c r="M10" t="n">
        <v>10</v>
      </c>
      <c r="N10" t="n">
        <v>2</v>
      </c>
      <c r="O10" t="n">
        <v>0</v>
      </c>
      <c r="P10" t="n">
        <v>0</v>
      </c>
      <c r="Q10" t="n">
        <v>37</v>
      </c>
      <c r="R10" t="n">
        <v>12</v>
      </c>
      <c r="S10" t="n">
        <v>72</v>
      </c>
      <c r="T10" t="n">
        <v>568</v>
      </c>
      <c r="U10" t="n">
        <v>0</v>
      </c>
      <c r="V10"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Blåmossa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10">
        <f>HYPERLINK("https://klasma.github.io/Logging_HANINGE_RESERVATSFORSLAG/artfynd/Tyresta naturreservat med skogsbruk artfynd.xlsx", "Tyresta naturreservat med skogsbruk")</f>
        <v/>
      </c>
      <c r="X10">
        <f>HYPERLINK("https://klasma.github.io/Logging_HANINGE_RESERVATSFORSLAG/kartor/Tyresta naturreservat med skogsbruk karta.png", "Tyresta naturreservat med skogsbruk")</f>
        <v/>
      </c>
      <c r="Y10">
        <f>HYPERLINK("https://klasma.github.io/Logging_HANINGE_RESERVATSFORSLAG/kartor_geotiff/Tyresta naturreservat med skogsbruk georefererad karta.tif", "Tyresta naturreservat med skogsbruk")</f>
        <v/>
      </c>
      <c r="Z10">
        <f>HYPERLINK("https://klasma.github.io/Logging_HANINGE_RESERVATSFORSLAG/knärot/Tyresta naturreservat med skogsbruk karta knärot.png", "Tyresta naturreservat med skogsbruk")</f>
        <v/>
      </c>
      <c r="AA10">
        <f>HYPERLINK("https://klasma.github.io/Logging_HANINGE_RESERVATSFORSLAG/klagomål/Tyresta naturreservat med skogsbruk FSC-klagomål.docx", "Tyresta naturreservat med skogsbruk")</f>
        <v/>
      </c>
      <c r="AB10">
        <f>HYPERLINK("https://klasma.github.io/Logging_HANINGE_RESERVATSFORSLAG/klagomålsmail/Tyresta naturreservat med skogsbruk FSC-klagomål mail.docx", "Tyresta naturreservat med skogsbruk")</f>
        <v/>
      </c>
      <c r="AC10">
        <f>HYPERLINK("https://klasma.github.io/Logging_HANINGE_RESERVATSFORSLAG/tillsyn/Tyresta naturreservat med skogsbruk tillsynsbegäran.docx", "Tyresta naturreservat med skogsbruk")</f>
        <v/>
      </c>
      <c r="AD10">
        <f>HYPERLINK("https://klasma.github.io/Logging_HANINGE_RESERVATSFORSLAG/tillsynsmail/Tyresta naturreservat med skogsbruk tillsynsbegäran mail.docx", "Tyresta naturreservat med skogsbruk")</f>
        <v/>
      </c>
      <c r="AE10">
        <f>HYPERLINK("https://klasma.github.io/Logging_HANINGE_RESERVATSFORSLAG/fåglar/Tyresta naturreservat med skogsbruk prioriterade fågelarter.docx", "Tyresta naturreservat med skogsbruk")</f>
        <v/>
      </c>
    </row>
    <row r="11" ht="15" customHeight="1">
      <c r="A11" t="inlineStr">
        <is>
          <t>Norra skogen</t>
        </is>
      </c>
      <c r="B11" t="inlineStr">
        <is>
          <t>avverkningsanmälan</t>
        </is>
      </c>
      <c r="D11" s="1" t="n">
        <v>46289</v>
      </c>
      <c r="E11" s="1" t="n">
        <v>46289</v>
      </c>
      <c r="F11" t="inlineStr">
        <is>
          <t>Stockholms län</t>
        </is>
      </c>
      <c r="G11" t="inlineStr">
        <is>
          <t>Haninge</t>
        </is>
      </c>
      <c r="I11" t="n">
        <v>403.2</v>
      </c>
      <c r="J11" t="n">
        <v>26</v>
      </c>
      <c r="K11" t="n">
        <v>25</v>
      </c>
      <c r="L11" t="n">
        <v>26</v>
      </c>
      <c r="M11" t="n">
        <v>3</v>
      </c>
      <c r="N11" t="n">
        <v>1</v>
      </c>
      <c r="O11" t="n">
        <v>0</v>
      </c>
      <c r="P11" t="n">
        <v>0</v>
      </c>
      <c r="Q11" t="n">
        <v>30</v>
      </c>
      <c r="R11" t="n">
        <v>4</v>
      </c>
      <c r="S11" t="n">
        <v>70</v>
      </c>
      <c r="T11" t="n">
        <v>427</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Såpfingersvamp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46289</v>
      </c>
      <c r="E12" s="1" t="n">
        <v>46289</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46289</v>
      </c>
      <c r="E13" s="1" t="n">
        <v>46289</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46289</v>
      </c>
      <c r="E14" s="1" t="n">
        <v>46289</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46289</v>
      </c>
      <c r="E15" s="1" t="n">
        <v>46289</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46289</v>
      </c>
      <c r="E16" s="1" t="n">
        <v>46289</v>
      </c>
      <c r="F16" t="inlineStr">
        <is>
          <t>Stockholms län</t>
        </is>
      </c>
      <c r="G16" t="inlineStr">
        <is>
          <t>Haninge</t>
        </is>
      </c>
      <c r="I16" t="n">
        <v>128</v>
      </c>
      <c r="J16" t="n">
        <v>18</v>
      </c>
      <c r="K16" t="n">
        <v>7</v>
      </c>
      <c r="L16" t="n">
        <v>20</v>
      </c>
      <c r="M16" t="n">
        <v>8</v>
      </c>
      <c r="N16" t="n">
        <v>1</v>
      </c>
      <c r="O16" t="n">
        <v>0</v>
      </c>
      <c r="P16" t="n">
        <v>0</v>
      </c>
      <c r="Q16" t="n">
        <v>29</v>
      </c>
      <c r="R16" t="n">
        <v>9</v>
      </c>
      <c r="S16" t="n">
        <v>48</v>
      </c>
      <c r="T16" t="n">
        <v>287</v>
      </c>
      <c r="U16" t="n">
        <v>0</v>
      </c>
      <c r="V16" s="2" t="inlineStr">
        <is>
          <t>Hornuggla
Brunfläckig pärlemorfjäril
Garnlav
Goliatmusseron
Igelkott
Jättemusseron
Knärot
Lakritsmusseron
Skrovlig taggsvamp
Adam och eva
Apelsinticka
Blå taggsvamp
Brunklöver
Dofttaggsvamp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46289</v>
      </c>
      <c r="E17" s="1" t="n">
        <v>46289</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46289</v>
      </c>
      <c r="E18" s="1" t="n">
        <v>46289</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46289</v>
      </c>
      <c r="E19" s="1" t="n">
        <v>46289</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46289</v>
      </c>
      <c r="E20" s="1" t="n">
        <v>46289</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46289</v>
      </c>
      <c r="E21" s="1" t="n">
        <v>46289</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46289</v>
      </c>
      <c r="E22" s="1" t="n">
        <v>46289</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46289</v>
      </c>
      <c r="E23" s="1" t="n">
        <v>46289</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2026-09-24T03:49:00Z</dcterms:created>
  <dcterms:modified xmlns:dcterms="http://purl.org/dc/terms/" xmlns:xsi="http://www.w3.org/2001/XMLSchema-instance" xsi:type="dcterms:W3CDTF">2026-09-24T03:49:00Z</dcterms:modified>
</cp:coreProperties>
</file>