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46320</v>
      </c>
      <c r="E2" s="1" t="n">
        <v>46320</v>
      </c>
      <c r="F2" t="inlineStr">
        <is>
          <t>Stockholms län</t>
        </is>
      </c>
      <c r="G2" t="inlineStr">
        <is>
          <t>Haninge</t>
        </is>
      </c>
      <c r="I2" t="n">
        <v>415</v>
      </c>
      <c r="J2" t="n">
        <v>42</v>
      </c>
      <c r="K2" t="n">
        <v>45</v>
      </c>
      <c r="L2" t="n">
        <v>55</v>
      </c>
      <c r="M2" t="n">
        <v>25</v>
      </c>
      <c r="N2" t="n">
        <v>5</v>
      </c>
      <c r="O2" t="n">
        <v>0</v>
      </c>
      <c r="P2" t="n">
        <v>0</v>
      </c>
      <c r="Q2" t="n">
        <v>85</v>
      </c>
      <c r="R2" t="n">
        <v>30</v>
      </c>
      <c r="S2" t="n">
        <v>160</v>
      </c>
      <c r="T2" t="n">
        <v>1417</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Phellodon aquiloniniger
Rynkskinn
Rödvingetrast
Skarp dropptaggsvamp
Skogshare
Skuggblåslav
Storgröe
Svartvit taggsvamp
Svartöra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Stjärtmes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46320</v>
      </c>
      <c r="E3" s="1" t="n">
        <v>46320</v>
      </c>
      <c r="F3" t="inlineStr">
        <is>
          <t>Stockholms län</t>
        </is>
      </c>
      <c r="G3" t="inlineStr">
        <is>
          <t>Haninge</t>
        </is>
      </c>
      <c r="I3" t="n">
        <v>280.8</v>
      </c>
      <c r="J3" t="n">
        <v>40</v>
      </c>
      <c r="K3" t="n">
        <v>46</v>
      </c>
      <c r="L3" t="n">
        <v>53</v>
      </c>
      <c r="M3" t="n">
        <v>22</v>
      </c>
      <c r="N3" t="n">
        <v>3</v>
      </c>
      <c r="O3" t="n">
        <v>0</v>
      </c>
      <c r="P3" t="n">
        <v>0</v>
      </c>
      <c r="Q3" t="n">
        <v>78</v>
      </c>
      <c r="R3" t="n">
        <v>25</v>
      </c>
      <c r="S3" t="n">
        <v>156</v>
      </c>
      <c r="T3" t="n">
        <v>801</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Norrbytorps naturreservat utökat</t>
        </is>
      </c>
      <c r="B4" t="inlineStr">
        <is>
          <t>avverkningsanmälan</t>
        </is>
      </c>
      <c r="D4" s="1" t="n">
        <v>46320</v>
      </c>
      <c r="E4" s="1" t="n">
        <v>46320</v>
      </c>
      <c r="F4" t="inlineStr">
        <is>
          <t>Stockholms län</t>
        </is>
      </c>
      <c r="G4" t="inlineStr">
        <is>
          <t>Haninge</t>
        </is>
      </c>
      <c r="I4" t="n">
        <v>194.4</v>
      </c>
      <c r="J4" t="n">
        <v>42</v>
      </c>
      <c r="K4" t="n">
        <v>33</v>
      </c>
      <c r="L4" t="n">
        <v>47</v>
      </c>
      <c r="M4" t="n">
        <v>18</v>
      </c>
      <c r="N4" t="n">
        <v>3</v>
      </c>
      <c r="O4" t="n">
        <v>0</v>
      </c>
      <c r="P4" t="n">
        <v>0</v>
      </c>
      <c r="Q4" t="n">
        <v>69</v>
      </c>
      <c r="R4" t="n">
        <v>21</v>
      </c>
      <c r="S4" t="n">
        <v>133</v>
      </c>
      <c r="T4" t="n">
        <v>1244</v>
      </c>
      <c r="U4" t="n">
        <v>0</v>
      </c>
      <c r="V4"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Phellodon aquiloniniger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Porodaedalea chrysoloma
Aspvedborre
Björksplintborre
Blodticka
Blomkålssvamp
Blåmossa
Brandticka
Bronshjon
Dorcatoma dresdensis
Flagellkvastmossa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Blåsippa
Ekbräken
Hultbräken
Krushättemossa
Linnea
Mattlummer
Nattskärra
Spillkråka
Tallört (aggregat)
Tjäder
Tofsmes
Dvärgpipistrell
Gröngöling
Grönsiska
Havsörn
Kungsfågel
Större brunfladdermus
Trana
Trollpipistrell
Törnskata
Vattenfladdermus
Åkergroda
Huggorm
Kopparödla
Mindre vattensalamander
Vanlig groda
Vanlig padda
Vanlig snok
Fläcknycklar
Nattviol
Revlummer</t>
        </is>
      </c>
      <c r="W4">
        <f>HYPERLINK("https://klasma.github.io/Logging_HANINGE_RESERVATSFORSLAG/artfynd/Norrbytorps naturreservat utökat artfynd.xlsx", "Norrbytorps naturreservat utökat")</f>
        <v/>
      </c>
      <c r="X4">
        <f>HYPERLINK("https://klasma.github.io/Logging_HANINGE_RESERVATSFORSLAG/kartor/Norrbytorps naturreservat utökat karta.png", "Norrbytorps naturreservat utökat")</f>
        <v/>
      </c>
      <c r="Y4">
        <f>HYPERLINK("https://klasma.github.io/Logging_HANINGE_RESERVATSFORSLAG/kartor_geotiff/Norrbytorps naturreservat utökat georefererad karta.tif", "Norrbytorps naturreservat utökat")</f>
        <v/>
      </c>
      <c r="Z4">
        <f>HYPERLINK("https://klasma.github.io/Logging_HANINGE_RESERVATSFORSLAG/knärot/Norrbytorps naturreservat utökat karta knärot.png", "Norrbytorps naturreservat utökat")</f>
        <v/>
      </c>
      <c r="AA4">
        <f>HYPERLINK("https://klasma.github.io/Logging_HANINGE_RESERVATSFORSLAG/klagomål/Norrbytorps naturreservat utökat FSC-klagomål.docx", "Norrbytorps naturreservat utökat")</f>
        <v/>
      </c>
      <c r="AB4">
        <f>HYPERLINK("https://klasma.github.io/Logging_HANINGE_RESERVATSFORSLAG/klagomålsmail/Norrbytorps naturreservat utökat FSC-klagomål mail.docx", "Norrbytorps naturreservat utökat")</f>
        <v/>
      </c>
      <c r="AC4">
        <f>HYPERLINK("https://klasma.github.io/Logging_HANINGE_RESERVATSFORSLAG/tillsyn/Norrbytorps naturreservat utökat tillsynsbegäran.docx", "Norrbytorps naturreservat utökat")</f>
        <v/>
      </c>
      <c r="AD4">
        <f>HYPERLINK("https://klasma.github.io/Logging_HANINGE_RESERVATSFORSLAG/tillsynsmail/Norrbytorps naturreservat utökat tillsynsbegäran mail.docx", "Norrbytorps naturreservat utökat")</f>
        <v/>
      </c>
      <c r="AE4">
        <f>HYPERLINK("https://klasma.github.io/Logging_HANINGE_RESERVATSFORSLAG/fåglar/Norrbytorps naturreservat utökat prioriterade fågelarter.docx", "Norrbytorps naturreservat utökat")</f>
        <v/>
      </c>
    </row>
    <row r="5" ht="15" customHeight="1">
      <c r="A5" t="inlineStr">
        <is>
          <t>Ornös nordspets</t>
        </is>
      </c>
      <c r="B5" t="inlineStr">
        <is>
          <t>avverkningsanmälan</t>
        </is>
      </c>
      <c r="D5" s="1" t="n">
        <v>46320</v>
      </c>
      <c r="E5" s="1" t="n">
        <v>46320</v>
      </c>
      <c r="F5" t="inlineStr">
        <is>
          <t>Stockholms län</t>
        </is>
      </c>
      <c r="G5" t="inlineStr">
        <is>
          <t>Haninge</t>
        </is>
      </c>
      <c r="I5" t="n">
        <v>450.6</v>
      </c>
      <c r="J5" t="n">
        <v>25</v>
      </c>
      <c r="K5" t="n">
        <v>58</v>
      </c>
      <c r="L5" t="n">
        <v>35</v>
      </c>
      <c r="M5" t="n">
        <v>10</v>
      </c>
      <c r="N5" t="n">
        <v>5</v>
      </c>
      <c r="O5" t="n">
        <v>0</v>
      </c>
      <c r="P5" t="n">
        <v>0</v>
      </c>
      <c r="Q5" t="n">
        <v>51</v>
      </c>
      <c r="R5" t="n">
        <v>15</v>
      </c>
      <c r="S5" t="n">
        <v>121</v>
      </c>
      <c r="T5" t="n">
        <v>451</v>
      </c>
      <c r="U5" t="n">
        <v>0</v>
      </c>
      <c r="V5"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5">
        <f>HYPERLINK("https://klasma.github.io/Logging_HANINGE_RESERVATSFORSLAG/artfynd/Ornös nordspets artfynd.xlsx", "Ornös nordspets")</f>
        <v/>
      </c>
      <c r="X5">
        <f>HYPERLINK("https://klasma.github.io/Logging_HANINGE_RESERVATSFORSLAG/kartor/Ornös nordspets karta.png", "Ornös nordspets")</f>
        <v/>
      </c>
      <c r="Y5">
        <f>HYPERLINK("https://klasma.github.io/Logging_HANINGE_RESERVATSFORSLAG/kartor_geotiff/Ornös nordspets georefererad karta.tif", "Ornös nordspets")</f>
        <v/>
      </c>
      <c r="Z5">
        <f>HYPERLINK("https://klasma.github.io/Logging_HANINGE_RESERVATSFORSLAG/knärot/Ornös nordspets karta knärot.png", "Ornös nordspets")</f>
        <v/>
      </c>
      <c r="AA5">
        <f>HYPERLINK("https://klasma.github.io/Logging_HANINGE_RESERVATSFORSLAG/klagomål/Ornös nordspets FSC-klagomål.docx", "Ornös nordspets")</f>
        <v/>
      </c>
      <c r="AB5">
        <f>HYPERLINK("https://klasma.github.io/Logging_HANINGE_RESERVATSFORSLAG/klagomålsmail/Ornös nordspets FSC-klagomål mail.docx", "Ornös nordspets")</f>
        <v/>
      </c>
      <c r="AC5">
        <f>HYPERLINK("https://klasma.github.io/Logging_HANINGE_RESERVATSFORSLAG/tillsyn/Ornös nordspets tillsynsbegäran.docx", "Ornös nordspets")</f>
        <v/>
      </c>
      <c r="AD5">
        <f>HYPERLINK("https://klasma.github.io/Logging_HANINGE_RESERVATSFORSLAG/tillsynsmail/Ornös nordspets tillsynsbegäran mail.docx", "Ornös nordspets")</f>
        <v/>
      </c>
      <c r="AE5">
        <f>HYPERLINK("https://klasma.github.io/Logging_HANINGE_RESERVATSFORSLAG/fåglar/Ornös nordspets prioriterade fågelarter.docx", "Ornös nordspets")</f>
        <v/>
      </c>
    </row>
    <row r="6" ht="15" customHeight="1">
      <c r="A6" t="inlineStr">
        <is>
          <t>Norrbytorps naturreservat</t>
        </is>
      </c>
      <c r="B6" t="inlineStr">
        <is>
          <t>avverkningsanmälan</t>
        </is>
      </c>
      <c r="D6" s="1" t="n">
        <v>46320</v>
      </c>
      <c r="E6" s="1" t="n">
        <v>46320</v>
      </c>
      <c r="F6" t="inlineStr">
        <is>
          <t>Stockholms län</t>
        </is>
      </c>
      <c r="G6" t="inlineStr">
        <is>
          <t>Haninge</t>
        </is>
      </c>
      <c r="I6" t="n">
        <v>159.7</v>
      </c>
      <c r="J6" t="n">
        <v>39</v>
      </c>
      <c r="K6" t="n">
        <v>27</v>
      </c>
      <c r="L6" t="n">
        <v>42</v>
      </c>
      <c r="M6" t="n">
        <v>16</v>
      </c>
      <c r="N6" t="n">
        <v>2</v>
      </c>
      <c r="O6" t="n">
        <v>0</v>
      </c>
      <c r="P6" t="n">
        <v>0</v>
      </c>
      <c r="Q6" t="n">
        <v>60</v>
      </c>
      <c r="R6" t="n">
        <v>18</v>
      </c>
      <c r="S6" t="n">
        <v>115</v>
      </c>
      <c r="T6" t="n">
        <v>1059</v>
      </c>
      <c r="U6" t="n">
        <v>0</v>
      </c>
      <c r="V6"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Phellodon aquiloniniger
Reliktbock
Skarp dropptaggsvamp
Skogsklocka
Svartvit taggsvamp
Tallfingersvamp
Tallkötticka
Talltagel
Tallticka
Talltita
Tjockfotad fingersvamp
Ullticka
Vaddporing
Vedskivlav
Vedtrappmossa
Vintertagging
Vågticka
Björksplintborre
Blodticka
Blomkålssvamp
Blåmossa
Brandticka
Bronshjon
Flagellkvastmossa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Blåsippa
Ekbräken
Hultbräken
Krushättemossa
Linnea
Mattlummer
Nattskärra
Spillkråka
Tallört (aggregat)
Tjäder
Tofsmes
Dvärgpipistrell
Gröngöling
Havsörn
Större brunfladdermus
Trana
Trollpipistrell
Törnskata
Vattenfladdermus
Åkergroda
Huggorm
Kopparödla
Mindre vattensalamander
Vanlig groda
Vanlig padda
Vanlig snok
Fläcknycklar
Revlummer</t>
        </is>
      </c>
      <c r="W6">
        <f>HYPERLINK("https://klasma.github.io/Logging_HANINGE_RESERVATSFORSLAG/artfynd/Norrbytorps naturreservat artfynd.xlsx", "Norrbytorps naturreservat")</f>
        <v/>
      </c>
      <c r="X6">
        <f>HYPERLINK("https://klasma.github.io/Logging_HANINGE_RESERVATSFORSLAG/kartor/Norrbytorps naturreservat karta.png", "Norrbytorps naturreservat")</f>
        <v/>
      </c>
      <c r="Y6">
        <f>HYPERLINK("https://klasma.github.io/Logging_HANINGE_RESERVATSFORSLAG/kartor_geotiff/Norrbytorps naturreservat georefererad karta.tif", "Norrbytorps naturreservat")</f>
        <v/>
      </c>
      <c r="Z6">
        <f>HYPERLINK("https://klasma.github.io/Logging_HANINGE_RESERVATSFORSLAG/knärot/Norrbytorps naturreservat karta knärot.png", "Norrbytorps naturreservat")</f>
        <v/>
      </c>
      <c r="AA6">
        <f>HYPERLINK("https://klasma.github.io/Logging_HANINGE_RESERVATSFORSLAG/klagomål/Norrbytorps naturreservat FSC-klagomål.docx", "Norrbytorps naturreservat")</f>
        <v/>
      </c>
      <c r="AB6">
        <f>HYPERLINK("https://klasma.github.io/Logging_HANINGE_RESERVATSFORSLAG/klagomålsmail/Norrbytorps naturreservat FSC-klagomål mail.docx", "Norrbytorps naturreservat")</f>
        <v/>
      </c>
      <c r="AC6">
        <f>HYPERLINK("https://klasma.github.io/Logging_HANINGE_RESERVATSFORSLAG/tillsyn/Norrbytorps naturreservat tillsynsbegäran.docx", "Norrbytorps naturreservat")</f>
        <v/>
      </c>
      <c r="AD6">
        <f>HYPERLINK("https://klasma.github.io/Logging_HANINGE_RESERVATSFORSLAG/tillsynsmail/Norrbytorps naturreservat tillsynsbegäran mail.docx", "Norrbytorps naturreservat")</f>
        <v/>
      </c>
      <c r="AE6">
        <f>HYPERLINK("https://klasma.github.io/Logging_HANINGE_RESERVATSFORSLAG/fåglar/Norrbytorps naturreservat prioriterade fågelarter.docx", "Norrbytorps naturreservat")</f>
        <v/>
      </c>
    </row>
    <row r="7" ht="15" customHeight="1">
      <c r="A7" t="inlineStr">
        <is>
          <t>Skäggsmoskogens naturreservat</t>
        </is>
      </c>
      <c r="B7" t="inlineStr">
        <is>
          <t>avverkningsanmälan</t>
        </is>
      </c>
      <c r="D7" s="1" t="n">
        <v>46320</v>
      </c>
      <c r="E7" s="1" t="n">
        <v>46320</v>
      </c>
      <c r="F7" t="inlineStr">
        <is>
          <t>Stockholms län</t>
        </is>
      </c>
      <c r="G7" t="inlineStr">
        <is>
          <t>Haninge</t>
        </is>
      </c>
      <c r="H7" t="inlineStr">
        <is>
          <t>Kommuner</t>
        </is>
      </c>
      <c r="I7" t="n">
        <v>185.8</v>
      </c>
      <c r="J7" t="n">
        <v>66</v>
      </c>
      <c r="K7" t="n">
        <v>19</v>
      </c>
      <c r="L7" t="n">
        <v>37</v>
      </c>
      <c r="M7" t="n">
        <v>10</v>
      </c>
      <c r="N7" t="n">
        <v>5</v>
      </c>
      <c r="O7" t="n">
        <v>0</v>
      </c>
      <c r="P7" t="n">
        <v>0</v>
      </c>
      <c r="Q7" t="n">
        <v>53</v>
      </c>
      <c r="R7" t="n">
        <v>15</v>
      </c>
      <c r="S7" t="n">
        <v>109</v>
      </c>
      <c r="T7" t="n">
        <v>268</v>
      </c>
      <c r="U7" t="n">
        <v>0</v>
      </c>
      <c r="V7"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Stjärtmes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7">
        <f>HYPERLINK("https://klasma.github.io/Logging_HANINGE_RESERVATSFORSLAG/artfynd/Skäggsmoskogens naturreservat artfynd.xlsx", "Skäggsmoskogens naturreservat")</f>
        <v/>
      </c>
      <c r="X7">
        <f>HYPERLINK("https://klasma.github.io/Logging_HANINGE_RESERVATSFORSLAG/kartor/Skäggsmoskogens naturreservat karta.png", "Skäggsmoskogens naturreservat")</f>
        <v/>
      </c>
      <c r="Y7">
        <f>HYPERLINK("https://klasma.github.io/Logging_HANINGE_RESERVATSFORSLAG/kartor_geotiff/Skäggsmoskogens naturreservat georefererad karta.tif", "Skäggsmoskogens naturreservat")</f>
        <v/>
      </c>
      <c r="AA7">
        <f>HYPERLINK("https://klasma.github.io/Logging_HANINGE_RESERVATSFORSLAG/klagomål/Skäggsmoskogens naturreservat FSC-klagomål.docx", "Skäggsmoskogens naturreservat")</f>
        <v/>
      </c>
      <c r="AB7">
        <f>HYPERLINK("https://klasma.github.io/Logging_HANINGE_RESERVATSFORSLAG/klagomålsmail/Skäggsmoskogens naturreservat FSC-klagomål mail.docx", "Skäggsmoskogens naturreservat")</f>
        <v/>
      </c>
      <c r="AC7">
        <f>HYPERLINK("https://klasma.github.io/Logging_HANINGE_RESERVATSFORSLAG/tillsyn/Skäggsmoskogens naturreservat tillsynsbegäran.docx", "Skäggsmoskogens naturreservat")</f>
        <v/>
      </c>
      <c r="AD7">
        <f>HYPERLINK("https://klasma.github.io/Logging_HANINGE_RESERVATSFORSLAG/tillsynsmail/Skäggsmoskogens naturreservat tillsynsbegäran mail.docx", "Skäggsmoskogens naturreservat")</f>
        <v/>
      </c>
      <c r="AE7">
        <f>HYPERLINK("https://klasma.github.io/Logging_HANINGE_RESERVATSFORSLAG/fåglar/Skäggsmoskogens naturreservat prioriterade fågelarter.docx", "Skäggsmoskogens naturreservat")</f>
        <v/>
      </c>
    </row>
    <row r="8" ht="15" customHeight="1">
      <c r="A8" t="inlineStr">
        <is>
          <t>Breviksnäs</t>
        </is>
      </c>
      <c r="B8" t="inlineStr">
        <is>
          <t>avverkningsanmälan</t>
        </is>
      </c>
      <c r="D8" s="1" t="n">
        <v>46320</v>
      </c>
      <c r="E8" s="1" t="n">
        <v>46320</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46320</v>
      </c>
      <c r="E9" s="1" t="n">
        <v>46320</v>
      </c>
      <c r="F9" t="inlineStr">
        <is>
          <t>Stockholms län</t>
        </is>
      </c>
      <c r="G9" t="inlineStr">
        <is>
          <t>Haninge</t>
        </is>
      </c>
      <c r="I9" t="n">
        <v>237.7</v>
      </c>
      <c r="J9" t="n">
        <v>26</v>
      </c>
      <c r="K9" t="n">
        <v>17</v>
      </c>
      <c r="L9" t="n">
        <v>27</v>
      </c>
      <c r="M9" t="n">
        <v>10</v>
      </c>
      <c r="N9" t="n">
        <v>2</v>
      </c>
      <c r="O9" t="n">
        <v>0</v>
      </c>
      <c r="P9" t="n">
        <v>0</v>
      </c>
      <c r="Q9" t="n">
        <v>39</v>
      </c>
      <c r="R9" t="n">
        <v>12</v>
      </c>
      <c r="S9" t="n">
        <v>74</v>
      </c>
      <c r="T9" t="n">
        <v>761</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Phellodon aquiloniniger
Reliktbock
Skarp dropptaggsvamp
Skogshare
Svartvit taggsvamp
Svedjenäva
Sårläka
Tallkötticka
Tallticka
Talltita
Tjockfotad fingersvamp
Ullticka
Vedskivlav
Vedtrappmossa
Vintertagging
Älg
Blodticka
Blomkålssvamp
Blåmossa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Lervassa träsk naturreservat</t>
        </is>
      </c>
      <c r="B10" t="inlineStr">
        <is>
          <t>avverkningsanmälan</t>
        </is>
      </c>
      <c r="D10" s="1" t="n">
        <v>46320</v>
      </c>
      <c r="E10" s="1" t="n">
        <v>46320</v>
      </c>
      <c r="F10" t="inlineStr">
        <is>
          <t>Stockholms län</t>
        </is>
      </c>
      <c r="G10" t="inlineStr">
        <is>
          <t>Haninge</t>
        </is>
      </c>
      <c r="I10" t="n">
        <v>168.3</v>
      </c>
      <c r="J10" t="n">
        <v>21</v>
      </c>
      <c r="K10" t="n">
        <v>19</v>
      </c>
      <c r="L10" t="n">
        <v>27</v>
      </c>
      <c r="M10" t="n">
        <v>8</v>
      </c>
      <c r="N10" t="n">
        <v>2</v>
      </c>
      <c r="O10" t="n">
        <v>0</v>
      </c>
      <c r="P10" t="n">
        <v>0</v>
      </c>
      <c r="Q10" t="n">
        <v>37</v>
      </c>
      <c r="R10" t="n">
        <v>10</v>
      </c>
      <c r="S10" t="n">
        <v>73</v>
      </c>
      <c r="T10" t="n">
        <v>822</v>
      </c>
      <c r="U10" t="n">
        <v>0</v>
      </c>
      <c r="V10"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Trådticka
Vedticka
Vågbandad barkbock
Blåsippa
Linnea
Spillkråka
Tjäder
Tofsmes
Fiskgjuse
Gröngöling
Havsörn
Kungsfågel
Orre
Huggorm
Kopparödla
Mindre vattensalamander
Vanlig groda
Vanlig padda
Fläcknycklar
Revlummer</t>
        </is>
      </c>
      <c r="W10">
        <f>HYPERLINK("https://klasma.github.io/Logging_HANINGE_RESERVATSFORSLAG/artfynd/Lervassa träsk naturreservat artfynd.xlsx", "Lervassa träsk naturreservat")</f>
        <v/>
      </c>
      <c r="X10">
        <f>HYPERLINK("https://klasma.github.io/Logging_HANINGE_RESERVATSFORSLAG/kartor/Lervassa träsk naturreservat karta.png", "Lervassa träsk naturreservat")</f>
        <v/>
      </c>
      <c r="Y10">
        <f>HYPERLINK("https://klasma.github.io/Logging_HANINGE_RESERVATSFORSLAG/kartor_geotiff/Lervassa träsk naturreservat georefererad karta.tif", "Lervassa träsk naturreservat")</f>
        <v/>
      </c>
      <c r="AA10">
        <f>HYPERLINK("https://klasma.github.io/Logging_HANINGE_RESERVATSFORSLAG/klagomål/Lervassa träsk naturreservat FSC-klagomål.docx", "Lervassa träsk naturreservat")</f>
        <v/>
      </c>
      <c r="AB10">
        <f>HYPERLINK("https://klasma.github.io/Logging_HANINGE_RESERVATSFORSLAG/klagomålsmail/Lervassa träsk naturreservat FSC-klagomål mail.docx", "Lervassa träsk naturreservat")</f>
        <v/>
      </c>
      <c r="AC10">
        <f>HYPERLINK("https://klasma.github.io/Logging_HANINGE_RESERVATSFORSLAG/tillsyn/Lervassa träsk naturreservat tillsynsbegäran.docx", "Lervassa träsk naturreservat")</f>
        <v/>
      </c>
      <c r="AD10">
        <f>HYPERLINK("https://klasma.github.io/Logging_HANINGE_RESERVATSFORSLAG/tillsynsmail/Lervassa träsk naturreservat tillsynsbegäran mail.docx", "Lervassa träsk naturreservat")</f>
        <v/>
      </c>
      <c r="AE10">
        <f>HYPERLINK("https://klasma.github.io/Logging_HANINGE_RESERVATSFORSLAG/fåglar/Lervassa träsk naturreservat prioriterade fågelarter.docx", "Lervassa träsk naturreservat")</f>
        <v/>
      </c>
    </row>
    <row r="11" ht="15" customHeight="1">
      <c r="A11" t="inlineStr">
        <is>
          <t>Norra skogen</t>
        </is>
      </c>
      <c r="B11" t="inlineStr">
        <is>
          <t>avverkningsanmälan</t>
        </is>
      </c>
      <c r="D11" s="1" t="n">
        <v>46320</v>
      </c>
      <c r="E11" s="1" t="n">
        <v>46320</v>
      </c>
      <c r="F11" t="inlineStr">
        <is>
          <t>Stockholms län</t>
        </is>
      </c>
      <c r="G11" t="inlineStr">
        <is>
          <t>Haninge</t>
        </is>
      </c>
      <c r="I11" t="n">
        <v>403.2</v>
      </c>
      <c r="J11" t="n">
        <v>26</v>
      </c>
      <c r="K11" t="n">
        <v>25</v>
      </c>
      <c r="L11" t="n">
        <v>26</v>
      </c>
      <c r="M11" t="n">
        <v>3</v>
      </c>
      <c r="N11" t="n">
        <v>1</v>
      </c>
      <c r="O11" t="n">
        <v>0</v>
      </c>
      <c r="P11" t="n">
        <v>0</v>
      </c>
      <c r="Q11" t="n">
        <v>30</v>
      </c>
      <c r="R11" t="n">
        <v>4</v>
      </c>
      <c r="S11" t="n">
        <v>70</v>
      </c>
      <c r="T11" t="n">
        <v>427</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Såpfingersvamp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46320</v>
      </c>
      <c r="E12" s="1" t="n">
        <v>46320</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46320</v>
      </c>
      <c r="E13" s="1" t="n">
        <v>46320</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46320</v>
      </c>
      <c r="E14" s="1" t="n">
        <v>46320</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Norrbytorps naturreservat söder</t>
        </is>
      </c>
      <c r="B15" t="inlineStr">
        <is>
          <t>avverkningsanmälan</t>
        </is>
      </c>
      <c r="D15" s="1" t="n">
        <v>46320</v>
      </c>
      <c r="E15" s="1" t="n">
        <v>46320</v>
      </c>
      <c r="F15" t="inlineStr">
        <is>
          <t>Stockholms län</t>
        </is>
      </c>
      <c r="G15" t="inlineStr">
        <is>
          <t>Haninge</t>
        </is>
      </c>
      <c r="I15" t="n">
        <v>128</v>
      </c>
      <c r="J15" t="n">
        <v>20</v>
      </c>
      <c r="K15" t="n">
        <v>8</v>
      </c>
      <c r="L15" t="n">
        <v>21</v>
      </c>
      <c r="M15" t="n">
        <v>8</v>
      </c>
      <c r="N15" t="n">
        <v>1</v>
      </c>
      <c r="O15" t="n">
        <v>0</v>
      </c>
      <c r="P15" t="n">
        <v>0</v>
      </c>
      <c r="Q15" t="n">
        <v>30</v>
      </c>
      <c r="R15" t="n">
        <v>9</v>
      </c>
      <c r="S15" t="n">
        <v>52</v>
      </c>
      <c r="T15" t="n">
        <v>316</v>
      </c>
      <c r="U15" t="n">
        <v>0</v>
      </c>
      <c r="V15" s="2" t="inlineStr">
        <is>
          <t>Hornuggla
Brunfläckig pärlemorfjäril
Garnlav
Goliatmusseron
Igelkott
Jättemusseron
Knärot
Lakritsmusseron
Skrovlig taggsvamp
Adam och eva
Apelsinticka
Blå taggsvamp
Brunklöver
Dofttaggsvamp
Dropptaggsvamp
Gullklöver
Krusfrö
Motaggsvamp
Orange taggsvamp
Phellodon aquiloniniger
Skogshare
Skogsklocka
Svartvit taggsvamp
Tallkötticka
Tallriska
Tallticka
Talltita
Tjockfotad fingersvamp
Ullticka
Vintertagging
Blodticka
Blåmossa
Grovticka
Grön sköldmossa
Grönpyrola
Mindre märgborre
Plattlummer
Vedticka
Blåsippa
Mattlummer
Nattskärra
Spillkråka
Tallbit
Tofsmes
Havsörn
Kungsfågel
Huggorm
Vanlig padda
Fläcknycklar
Nattviol
Lopplummer (aggregat)
Äkta lopplummer</t>
        </is>
      </c>
      <c r="W15">
        <f>HYPERLINK("https://klasma.github.io/Logging_HANINGE_RESERVATSFORSLAG/artfynd/Norrbytorps naturreservat söder artfynd.xlsx", "Norrbytorps naturreservat söder")</f>
        <v/>
      </c>
      <c r="X15">
        <f>HYPERLINK("https://klasma.github.io/Logging_HANINGE_RESERVATSFORSLAG/kartor/Norrbytorps naturreservat söder karta.png", "Norrbytorps naturreservat söder")</f>
        <v/>
      </c>
      <c r="Y15">
        <f>HYPERLINK("https://klasma.github.io/Logging_HANINGE_RESERVATSFORSLAG/kartor_geotiff/Norrbytorps naturreservat söder georefererad karta.tif", "Norrbytorps naturreservat söder")</f>
        <v/>
      </c>
      <c r="Z15">
        <f>HYPERLINK("https://klasma.github.io/Logging_HANINGE_RESERVATSFORSLAG/knärot/Norrbytorps naturreservat söder karta knärot.png", "Norrbytorps naturreservat söder")</f>
        <v/>
      </c>
      <c r="AA15">
        <f>HYPERLINK("https://klasma.github.io/Logging_HANINGE_RESERVATSFORSLAG/klagomål/Norrbytorps naturreservat söder FSC-klagomål.docx", "Norrbytorps naturreservat söder")</f>
        <v/>
      </c>
      <c r="AB15">
        <f>HYPERLINK("https://klasma.github.io/Logging_HANINGE_RESERVATSFORSLAG/klagomålsmail/Norrbytorps naturreservat söder FSC-klagomål mail.docx", "Norrbytorps naturreservat söder")</f>
        <v/>
      </c>
      <c r="AC15">
        <f>HYPERLINK("https://klasma.github.io/Logging_HANINGE_RESERVATSFORSLAG/tillsyn/Norrbytorps naturreservat söder tillsynsbegäran.docx", "Norrbytorps naturreservat söder")</f>
        <v/>
      </c>
      <c r="AD15">
        <f>HYPERLINK("https://klasma.github.io/Logging_HANINGE_RESERVATSFORSLAG/tillsynsmail/Norrbytorps naturreservat söder tillsynsbegäran mail.docx", "Norrbytorps naturreservat söder")</f>
        <v/>
      </c>
      <c r="AE15">
        <f>HYPERLINK("https://klasma.github.io/Logging_HANINGE_RESERVATSFORSLAG/fåglar/Norrbytorps naturreservat söder prioriterade fågelarter.docx", "Norrbytorps naturreservat söder")</f>
        <v/>
      </c>
    </row>
    <row r="16" ht="15" customHeight="1">
      <c r="A16" t="inlineStr">
        <is>
          <t>Tutvikskogens naturreservat</t>
        </is>
      </c>
      <c r="B16" t="inlineStr">
        <is>
          <t>avverkningsanmälan</t>
        </is>
      </c>
      <c r="D16" s="1" t="n">
        <v>46320</v>
      </c>
      <c r="E16" s="1" t="n">
        <v>46320</v>
      </c>
      <c r="F16" t="inlineStr">
        <is>
          <t>Stockholms län</t>
        </is>
      </c>
      <c r="G16" t="inlineStr">
        <is>
          <t>Haninge</t>
        </is>
      </c>
      <c r="I16" t="n">
        <v>194.2</v>
      </c>
      <c r="J16" t="n">
        <v>14</v>
      </c>
      <c r="K16" t="n">
        <v>14</v>
      </c>
      <c r="L16" t="n">
        <v>16</v>
      </c>
      <c r="M16" t="n">
        <v>9</v>
      </c>
      <c r="N16" t="n">
        <v>0</v>
      </c>
      <c r="O16" t="n">
        <v>0</v>
      </c>
      <c r="P16" t="n">
        <v>0</v>
      </c>
      <c r="Q16" t="n">
        <v>25</v>
      </c>
      <c r="R16" t="n">
        <v>9</v>
      </c>
      <c r="S16" t="n">
        <v>49</v>
      </c>
      <c r="T16" t="n">
        <v>352</v>
      </c>
      <c r="U16" t="n">
        <v>0</v>
      </c>
      <c r="V16"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6">
        <f>HYPERLINK("https://klasma.github.io/Logging_HANINGE_RESERVATSFORSLAG/artfynd/Tutvikskogens naturreservat artfynd.xlsx", "Tutvikskogens naturreservat")</f>
        <v/>
      </c>
      <c r="X16">
        <f>HYPERLINK("https://klasma.github.io/Logging_HANINGE_RESERVATSFORSLAG/kartor/Tutvikskogens naturreservat karta.png", "Tutvikskogens naturreservat")</f>
        <v/>
      </c>
      <c r="Y16">
        <f>HYPERLINK("https://klasma.github.io/Logging_HANINGE_RESERVATSFORSLAG/kartor_geotiff/Tutvikskogens naturreservat georefererad karta.tif", "Tutvikskogens naturreservat")</f>
        <v/>
      </c>
      <c r="Z16">
        <f>HYPERLINK("https://klasma.github.io/Logging_HANINGE_RESERVATSFORSLAG/knärot/Tutvikskogens naturreservat karta knärot.png", "Tutvikskogens naturreservat")</f>
        <v/>
      </c>
      <c r="AA16">
        <f>HYPERLINK("https://klasma.github.io/Logging_HANINGE_RESERVATSFORSLAG/klagomål/Tutvikskogens naturreservat FSC-klagomål.docx", "Tutvikskogens naturreservat")</f>
        <v/>
      </c>
      <c r="AB16">
        <f>HYPERLINK("https://klasma.github.io/Logging_HANINGE_RESERVATSFORSLAG/klagomålsmail/Tutvikskogens naturreservat FSC-klagomål mail.docx", "Tutvikskogens naturreservat")</f>
        <v/>
      </c>
      <c r="AC16">
        <f>HYPERLINK("https://klasma.github.io/Logging_HANINGE_RESERVATSFORSLAG/tillsyn/Tutvikskogens naturreservat tillsynsbegäran.docx", "Tutvikskogens naturreservat")</f>
        <v/>
      </c>
      <c r="AD16">
        <f>HYPERLINK("https://klasma.github.io/Logging_HANINGE_RESERVATSFORSLAG/tillsynsmail/Tutvikskogens naturreservat tillsynsbegäran mail.docx", "Tutvikskogens naturreservat")</f>
        <v/>
      </c>
      <c r="AE16">
        <f>HYPERLINK("https://klasma.github.io/Logging_HANINGE_RESERVATSFORSLAG/fåglar/Tutvikskogens naturreservat prioriterade fågelarter.docx", "Tutvikskogens naturreservat")</f>
        <v/>
      </c>
    </row>
    <row r="17" ht="15" customHeight="1">
      <c r="A17" t="inlineStr">
        <is>
          <t>Kapellöns naturreservat</t>
        </is>
      </c>
      <c r="B17" t="inlineStr">
        <is>
          <t>avverkningsanmälan</t>
        </is>
      </c>
      <c r="D17" s="1" t="n">
        <v>46320</v>
      </c>
      <c r="E17" s="1" t="n">
        <v>46320</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46320</v>
      </c>
      <c r="E18" s="1" t="n">
        <v>46320</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46320</v>
      </c>
      <c r="E19" s="1" t="n">
        <v>46320</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46320</v>
      </c>
      <c r="E20" s="1" t="n">
        <v>46320</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46320</v>
      </c>
      <c r="E21" s="1" t="n">
        <v>46320</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46320</v>
      </c>
      <c r="E22" s="1" t="n">
        <v>46320</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46320</v>
      </c>
      <c r="E23" s="1" t="n">
        <v>46320</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2026-10-25T03:35:00Z</dcterms:created>
  <dcterms:modified xmlns:dcterms="http://purl.org/dc/terms/" xmlns:xsi="http://www.w3.org/2001/XMLSchema-instance" xsi:type="dcterms:W3CDTF">2026-10-25T03:35:00Z</dcterms:modified>
</cp:coreProperties>
</file>